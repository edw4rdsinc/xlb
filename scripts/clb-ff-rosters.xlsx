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Edwards\Downloads\"/>
    </mc:Choice>
  </mc:AlternateContent>
  <xr:revisionPtr revIDLastSave="0" documentId="13_ncr:1_{ADEBD3E8-3B66-46D6-AE2D-9FD6DA10436B}" xr6:coauthVersionLast="47" xr6:coauthVersionMax="47" xr10:uidLastSave="{00000000-0000-0000-0000-000000000000}"/>
  <bookViews>
    <workbookView xWindow="-110" yWindow="-110" windowWidth="19420" windowHeight="10300" xr2:uid="{E51F1D83-9214-4BFC-9CE9-566140DAC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3" i="1" l="1"/>
  <c r="Z73" i="1" s="1"/>
  <c r="R73" i="1"/>
  <c r="K73" i="1"/>
  <c r="Y72" i="1"/>
  <c r="Z72" i="1" s="1"/>
  <c r="R72" i="1"/>
  <c r="K72" i="1"/>
  <c r="Y71" i="1"/>
  <c r="Z71" i="1" s="1"/>
  <c r="R71" i="1"/>
  <c r="K71" i="1"/>
  <c r="Y70" i="1"/>
  <c r="Z70" i="1" s="1"/>
  <c r="R70" i="1"/>
  <c r="K70" i="1"/>
  <c r="Y69" i="1"/>
  <c r="Z69" i="1" s="1"/>
  <c r="R69" i="1"/>
  <c r="K69" i="1"/>
  <c r="Y68" i="1"/>
  <c r="Z68" i="1" s="1"/>
  <c r="R68" i="1"/>
  <c r="K68" i="1"/>
  <c r="Y67" i="1"/>
  <c r="Z67" i="1" s="1"/>
  <c r="R67" i="1"/>
  <c r="K67" i="1"/>
  <c r="Y66" i="1"/>
  <c r="Z66" i="1" s="1"/>
  <c r="R66" i="1"/>
  <c r="K66" i="1"/>
  <c r="Y65" i="1"/>
  <c r="Z65" i="1" s="1"/>
  <c r="R65" i="1"/>
  <c r="K65" i="1"/>
  <c r="Y64" i="1"/>
  <c r="Z64" i="1" s="1"/>
  <c r="R64" i="1"/>
  <c r="K64" i="1"/>
  <c r="Y63" i="1"/>
  <c r="Z63" i="1" s="1"/>
  <c r="R63" i="1"/>
  <c r="K63" i="1"/>
  <c r="Y62" i="1"/>
  <c r="Z62" i="1" s="1"/>
  <c r="R62" i="1"/>
  <c r="K62" i="1"/>
  <c r="Y61" i="1"/>
  <c r="Z61" i="1" s="1"/>
  <c r="R61" i="1"/>
  <c r="K61" i="1"/>
  <c r="Y60" i="1"/>
  <c r="Z60" i="1" s="1"/>
  <c r="R60" i="1"/>
  <c r="K60" i="1"/>
  <c r="Y59" i="1"/>
  <c r="Z59" i="1" s="1"/>
  <c r="R59" i="1"/>
  <c r="K59" i="1"/>
  <c r="Y58" i="1"/>
  <c r="Z58" i="1" s="1"/>
  <c r="R58" i="1"/>
  <c r="K58" i="1"/>
  <c r="Y57" i="1"/>
  <c r="Z57" i="1" s="1"/>
  <c r="R57" i="1"/>
  <c r="K57" i="1"/>
  <c r="Y56" i="1"/>
  <c r="Z56" i="1" s="1"/>
  <c r="R56" i="1"/>
  <c r="K56" i="1"/>
  <c r="Y55" i="1"/>
  <c r="Z55" i="1" s="1"/>
  <c r="R55" i="1"/>
  <c r="K55" i="1"/>
  <c r="Y54" i="1"/>
  <c r="Z54" i="1" s="1"/>
  <c r="R54" i="1"/>
  <c r="K54" i="1"/>
  <c r="Y53" i="1"/>
  <c r="Z53" i="1" s="1"/>
  <c r="R53" i="1"/>
  <c r="K53" i="1"/>
  <c r="Y52" i="1"/>
  <c r="Z52" i="1" s="1"/>
  <c r="R52" i="1"/>
  <c r="K52" i="1"/>
  <c r="Y51" i="1"/>
  <c r="Z51" i="1" s="1"/>
  <c r="R51" i="1"/>
  <c r="K51" i="1"/>
  <c r="Y50" i="1"/>
  <c r="Z50" i="1" s="1"/>
  <c r="R50" i="1"/>
  <c r="K50" i="1"/>
  <c r="Y49" i="1"/>
  <c r="Z49" i="1" s="1"/>
  <c r="R49" i="1"/>
  <c r="K49" i="1"/>
  <c r="Y48" i="1"/>
  <c r="Z48" i="1" s="1"/>
  <c r="R48" i="1"/>
  <c r="K48" i="1"/>
  <c r="Y47" i="1"/>
  <c r="Z47" i="1" s="1"/>
  <c r="R47" i="1"/>
  <c r="K47" i="1"/>
  <c r="Y46" i="1"/>
  <c r="Z46" i="1" s="1"/>
  <c r="R46" i="1"/>
  <c r="K46" i="1"/>
  <c r="Y45" i="1"/>
  <c r="Z45" i="1" s="1"/>
  <c r="R45" i="1"/>
  <c r="K45" i="1"/>
  <c r="Y44" i="1"/>
  <c r="Z44" i="1" s="1"/>
  <c r="R44" i="1"/>
  <c r="K44" i="1"/>
  <c r="Y43" i="1"/>
  <c r="Z43" i="1" s="1"/>
  <c r="R43" i="1"/>
  <c r="K43" i="1"/>
  <c r="Y42" i="1"/>
  <c r="Z42" i="1" s="1"/>
  <c r="R42" i="1"/>
  <c r="K42" i="1"/>
  <c r="Y41" i="1"/>
  <c r="Z41" i="1" s="1"/>
  <c r="R41" i="1"/>
  <c r="K41" i="1"/>
  <c r="Y40" i="1"/>
  <c r="Z40" i="1" s="1"/>
  <c r="R40" i="1"/>
  <c r="K40" i="1"/>
  <c r="Y39" i="1"/>
  <c r="Z39" i="1" s="1"/>
  <c r="R39" i="1"/>
  <c r="K39" i="1"/>
  <c r="Y38" i="1"/>
  <c r="Z38" i="1" s="1"/>
  <c r="R38" i="1"/>
  <c r="K38" i="1"/>
  <c r="Y37" i="1"/>
  <c r="Z37" i="1" s="1"/>
  <c r="R37" i="1"/>
  <c r="K37" i="1"/>
  <c r="Y36" i="1"/>
  <c r="Z36" i="1" s="1"/>
  <c r="R36" i="1"/>
  <c r="K36" i="1"/>
  <c r="Y35" i="1"/>
  <c r="R35" i="1"/>
  <c r="K35" i="1"/>
  <c r="Y34" i="1"/>
  <c r="Z34" i="1" s="1"/>
  <c r="R34" i="1"/>
  <c r="K34" i="1"/>
  <c r="Y33" i="1"/>
  <c r="Z33" i="1" s="1"/>
  <c r="R33" i="1"/>
  <c r="K33" i="1"/>
  <c r="Y32" i="1"/>
  <c r="Z32" i="1" s="1"/>
  <c r="R32" i="1"/>
  <c r="K32" i="1"/>
  <c r="Y31" i="1"/>
  <c r="Z31" i="1" s="1"/>
  <c r="R31" i="1"/>
  <c r="K31" i="1"/>
  <c r="Y30" i="1"/>
  <c r="Z30" i="1" s="1"/>
  <c r="R30" i="1"/>
  <c r="K30" i="1"/>
  <c r="Y29" i="1"/>
  <c r="Z29" i="1" s="1"/>
  <c r="R29" i="1"/>
  <c r="K29" i="1"/>
  <c r="Y28" i="1"/>
  <c r="Z28" i="1" s="1"/>
  <c r="R28" i="1"/>
  <c r="K28" i="1"/>
  <c r="Y27" i="1"/>
  <c r="Z27" i="1" s="1"/>
  <c r="R27" i="1"/>
  <c r="K27" i="1"/>
  <c r="Y26" i="1"/>
  <c r="Z26" i="1" s="1"/>
  <c r="R26" i="1"/>
  <c r="K26" i="1"/>
  <c r="Y25" i="1"/>
  <c r="Z25" i="1" s="1"/>
  <c r="R25" i="1"/>
  <c r="K25" i="1"/>
  <c r="Y24" i="1"/>
  <c r="Z24" i="1" s="1"/>
  <c r="R24" i="1"/>
  <c r="K24" i="1"/>
  <c r="Y23" i="1"/>
  <c r="Z23" i="1" s="1"/>
  <c r="R23" i="1"/>
  <c r="K23" i="1"/>
  <c r="Y22" i="1"/>
  <c r="Z22" i="1" s="1"/>
  <c r="R22" i="1"/>
  <c r="K22" i="1"/>
  <c r="Y21" i="1"/>
  <c r="Z21" i="1" s="1"/>
  <c r="R21" i="1"/>
  <c r="K21" i="1"/>
  <c r="Y20" i="1"/>
  <c r="Z20" i="1" s="1"/>
  <c r="R20" i="1"/>
  <c r="K20" i="1"/>
  <c r="Y19" i="1"/>
  <c r="Z19" i="1" s="1"/>
  <c r="R19" i="1"/>
  <c r="K19" i="1"/>
  <c r="Y18" i="1"/>
  <c r="Z18" i="1" s="1"/>
  <c r="R18" i="1"/>
  <c r="K18" i="1"/>
  <c r="Y17" i="1"/>
  <c r="Z17" i="1" s="1"/>
  <c r="R17" i="1"/>
  <c r="K17" i="1"/>
  <c r="Y16" i="1"/>
  <c r="Z16" i="1" s="1"/>
  <c r="R16" i="1"/>
  <c r="K16" i="1"/>
  <c r="Y15" i="1"/>
  <c r="Z15" i="1" s="1"/>
  <c r="R15" i="1"/>
  <c r="K15" i="1"/>
  <c r="Y14" i="1"/>
  <c r="Z14" i="1" s="1"/>
  <c r="R14" i="1"/>
  <c r="K14" i="1"/>
  <c r="Y13" i="1"/>
  <c r="Z13" i="1" s="1"/>
  <c r="R13" i="1"/>
  <c r="K13" i="1"/>
  <c r="Y12" i="1"/>
  <c r="Z12" i="1" s="1"/>
  <c r="R12" i="1"/>
  <c r="K12" i="1"/>
  <c r="Y11" i="1"/>
  <c r="Z11" i="1" s="1"/>
  <c r="R11" i="1"/>
  <c r="K11" i="1"/>
  <c r="Y10" i="1"/>
  <c r="Z10" i="1" s="1"/>
  <c r="R10" i="1"/>
  <c r="K10" i="1"/>
  <c r="Y9" i="1"/>
  <c r="Z9" i="1" s="1"/>
  <c r="R9" i="1"/>
  <c r="K9" i="1"/>
  <c r="Y8" i="1"/>
  <c r="Z8" i="1" s="1"/>
  <c r="R8" i="1"/>
  <c r="K8" i="1"/>
  <c r="Y7" i="1"/>
  <c r="Z7" i="1" s="1"/>
  <c r="R7" i="1"/>
  <c r="K7" i="1"/>
  <c r="Y6" i="1"/>
  <c r="Z6" i="1" s="1"/>
  <c r="R6" i="1"/>
  <c r="K6" i="1"/>
  <c r="Y5" i="1"/>
  <c r="Z5" i="1" s="1"/>
  <c r="R5" i="1"/>
  <c r="K5" i="1"/>
  <c r="Y4" i="1"/>
  <c r="Z4" i="1" s="1"/>
  <c r="R4" i="1"/>
  <c r="K4" i="1"/>
  <c r="Y3" i="1"/>
  <c r="Z3" i="1" s="1"/>
  <c r="R3" i="1"/>
  <c r="K3" i="1"/>
  <c r="Y2" i="1"/>
  <c r="Z2" i="1" s="1"/>
  <c r="R2" i="1"/>
  <c r="K2" i="1"/>
  <c r="Z35" i="1" l="1"/>
</calcChain>
</file>

<file path=xl/sharedStrings.xml><?xml version="1.0" encoding="utf-8"?>
<sst xmlns="http://schemas.openxmlformats.org/spreadsheetml/2006/main" count="894" uniqueCount="431">
  <si>
    <t>Adam Roberts</t>
  </si>
  <si>
    <t>Alex Goettler</t>
  </si>
  <si>
    <t>Alisha Sexton</t>
  </si>
  <si>
    <t>Alyssa Schastny</t>
  </si>
  <si>
    <t>Amit Shah</t>
  </si>
  <si>
    <t>Ashley Oana</t>
  </si>
  <si>
    <t>Barry Maas</t>
  </si>
  <si>
    <t>Bill Hoitt</t>
  </si>
  <si>
    <t>Billy Wilkins</t>
  </si>
  <si>
    <t>Brian Flynn</t>
  </si>
  <si>
    <t>Brian Hunt</t>
  </si>
  <si>
    <t>Brian Joselit</t>
  </si>
  <si>
    <t>Brian Mercier</t>
  </si>
  <si>
    <t>Brian Reule</t>
  </si>
  <si>
    <t>Bruce Thomas</t>
  </si>
  <si>
    <t>Bryan McManaway</t>
  </si>
  <si>
    <t>Callie Porter</t>
  </si>
  <si>
    <t>Cam Katrena</t>
  </si>
  <si>
    <t>Chad Parker</t>
  </si>
  <si>
    <t>Charles Michinock</t>
  </si>
  <si>
    <t>Craig Gottwals</t>
  </si>
  <si>
    <t>Daniel Tillman</t>
  </si>
  <si>
    <t>Dave Gottwals</t>
  </si>
  <si>
    <t>Drew Nixon</t>
  </si>
  <si>
    <t>Erin Maloney</t>
  </si>
  <si>
    <t>Evan Notaro</t>
  </si>
  <si>
    <t>George Lemmon</t>
  </si>
  <si>
    <t>Gigi Walker</t>
  </si>
  <si>
    <t>Hunter Raymond</t>
  </si>
  <si>
    <t>Jason Pitts</t>
  </si>
  <si>
    <t>Jennifer Vincent</t>
  </si>
  <si>
    <t>Jodie Biggs</t>
  </si>
  <si>
    <t>Jonathan Lowe</t>
  </si>
  <si>
    <t>Kim McBee</t>
  </si>
  <si>
    <t>Kristin McDuffie</t>
  </si>
  <si>
    <t>Larry Waks</t>
  </si>
  <si>
    <t>Lawson Rouly</t>
  </si>
  <si>
    <t>Lee Walter</t>
  </si>
  <si>
    <t>Leslie Caruthers</t>
  </si>
  <si>
    <t>Linda Subbiondo</t>
  </si>
  <si>
    <t>Maks Shutel</t>
  </si>
  <si>
    <t>Marianna Gevorkian</t>
  </si>
  <si>
    <t>Maribeth DeForge</t>
  </si>
  <si>
    <t>Mark Ostdiek</t>
  </si>
  <si>
    <t>Mark Viereck</t>
  </si>
  <si>
    <t>Matt Cassayre</t>
  </si>
  <si>
    <t>Matt Downs</t>
  </si>
  <si>
    <t>Matt Lincoln</t>
  </si>
  <si>
    <t>Melanie Wyatt</t>
  </si>
  <si>
    <t>Merri Pogue</t>
  </si>
  <si>
    <t>Mike Cortese</t>
  </si>
  <si>
    <t>Mike Enzenbacher</t>
  </si>
  <si>
    <t>Mike Just</t>
  </si>
  <si>
    <t>Mike Rea</t>
  </si>
  <si>
    <t>Mike Young</t>
  </si>
  <si>
    <t>Monique Eubanks</t>
  </si>
  <si>
    <t>Nate Rugaard</t>
  </si>
  <si>
    <t>Nick Ostdiek</t>
  </si>
  <si>
    <t>Nicole Logan</t>
  </si>
  <si>
    <t>Riley Welter</t>
  </si>
  <si>
    <t>Rob Maes</t>
  </si>
  <si>
    <t>Sam Gallagher</t>
  </si>
  <si>
    <t>Sarah Perry</t>
  </si>
  <si>
    <t>Steve Miller</t>
  </si>
  <si>
    <t>Tip Millard</t>
  </si>
  <si>
    <t>Todd Lawrence</t>
  </si>
  <si>
    <t>Tracy Borden</t>
  </si>
  <si>
    <t>Willie Mok</t>
  </si>
  <si>
    <t>XL Daron Pitts</t>
  </si>
  <si>
    <t>XL Jennifer Flynn</t>
  </si>
  <si>
    <t>XL Joe Landziak</t>
  </si>
  <si>
    <t>XL Sam Edwards</t>
  </si>
  <si>
    <t>717-228-7831</t>
  </si>
  <si>
    <t>adam.roberts@hmig.com</t>
  </si>
  <si>
    <t>Long-Shot</t>
  </si>
  <si>
    <t>724-991-2451</t>
  </si>
  <si>
    <t>Alex@evolutionrisk.com</t>
  </si>
  <si>
    <t>Pittsburgh Goliaths</t>
  </si>
  <si>
    <t>740-285-0683</t>
  </si>
  <si>
    <t>ASEXTON@IBATPA.COM</t>
  </si>
  <si>
    <t>Joe's Jungle</t>
  </si>
  <si>
    <t>alyssa@is-benefits.com</t>
  </si>
  <si>
    <t>The Boston Safe-ty Party</t>
  </si>
  <si>
    <t>856-316-9584</t>
  </si>
  <si>
    <t>amit.shah@corpsyn.com</t>
  </si>
  <si>
    <t>Fins2win</t>
  </si>
  <si>
    <t>559-577-1372</t>
  </si>
  <si>
    <t>ashley.oana@baldwin.com</t>
  </si>
  <si>
    <t>Like Thunda</t>
  </si>
  <si>
    <t>559-696-5141</t>
  </si>
  <si>
    <t>bmaas@naviabenefits.com</t>
  </si>
  <si>
    <t>Undutchables</t>
  </si>
  <si>
    <t>508.631.8010</t>
  </si>
  <si>
    <t>bill.hoitt@cfins.com</t>
  </si>
  <si>
    <t>ChowDaddy</t>
  </si>
  <si>
    <t>925-457-4040</t>
  </si>
  <si>
    <t>billy.wilkins@voya.com</t>
  </si>
  <si>
    <t>Seek &amp; Destroy</t>
  </si>
  <si>
    <t>704-458-2644</t>
  </si>
  <si>
    <t>bflynn@onedigital.com</t>
  </si>
  <si>
    <t>YOSEF9</t>
  </si>
  <si>
    <t>559-228-4317</t>
  </si>
  <si>
    <t>bhunt@advantekbenefit.com</t>
  </si>
  <si>
    <t>Broadway Joe</t>
  </si>
  <si>
    <t>732-860-7018</t>
  </si>
  <si>
    <t>bjoselit@cornellins.com</t>
  </si>
  <si>
    <t>Joselit Risk Bombers</t>
  </si>
  <si>
    <t>864-672-3040</t>
  </si>
  <si>
    <t>brian.mercier@acentria.com</t>
  </si>
  <si>
    <t>Money Ball</t>
  </si>
  <si>
    <t>312-826-2062</t>
  </si>
  <si>
    <t>brian@evolutionrisk.com</t>
  </si>
  <si>
    <t>Toe-Jam Football</t>
  </si>
  <si>
    <t>530-897-3181</t>
  </si>
  <si>
    <t>bthomas@iwins.com</t>
  </si>
  <si>
    <t>Da Bears</t>
  </si>
  <si>
    <t>646-542-3396</t>
  </si>
  <si>
    <t xml:space="preserve">Bryan.McManaway@corpsyn.com </t>
  </si>
  <si>
    <t>Bay Shore Marauders</t>
  </si>
  <si>
    <t>661-912-9853</t>
  </si>
  <si>
    <t>callie.porter@insurica.com</t>
  </si>
  <si>
    <t>Dak My Team</t>
  </si>
  <si>
    <t>612-590-6728</t>
  </si>
  <si>
    <t>cameron.katrena@partnerre.com</t>
  </si>
  <si>
    <t>PR Panthers</t>
  </si>
  <si>
    <t>312-735-5934</t>
  </si>
  <si>
    <t>Chad@evolutionrisk.com</t>
  </si>
  <si>
    <t>Steeler Nation</t>
  </si>
  <si>
    <t>949-413-7525</t>
  </si>
  <si>
    <t>charles.michinock@bhspecialty.com</t>
  </si>
  <si>
    <t>In Chase We Trust</t>
  </si>
  <si>
    <t>916-501-1748</t>
  </si>
  <si>
    <t>ctgottwals@yahoo.com</t>
  </si>
  <si>
    <t>John Galt</t>
  </si>
  <si>
    <t>386-590-4653</t>
  </si>
  <si>
    <t>daniel.tillman@acentria.com</t>
  </si>
  <si>
    <t>Big Tilly</t>
  </si>
  <si>
    <t>408-221-6296</t>
  </si>
  <si>
    <t>dgottwals@yahoo.com</t>
  </si>
  <si>
    <t>Rainmaker</t>
  </si>
  <si>
    <t>626-610-6560</t>
  </si>
  <si>
    <t>dnixon@pinnbrokers.com</t>
  </si>
  <si>
    <t>Pinnacle Patriots</t>
  </si>
  <si>
    <t>480-738-3000</t>
  </si>
  <si>
    <t>erin_moloney@swissre.com</t>
  </si>
  <si>
    <t>BeetleJuice</t>
  </si>
  <si>
    <t>610-703-8755</t>
  </si>
  <si>
    <t>evan@evolutionrisk.com</t>
  </si>
  <si>
    <t>Birds</t>
  </si>
  <si>
    <t>312-961-2557</t>
  </si>
  <si>
    <t>george@evolutionrisk.com</t>
  </si>
  <si>
    <t>Lions Year</t>
  </si>
  <si>
    <t xml:space="preserve">775-815-6143 </t>
  </si>
  <si>
    <t>gigi.walker@lpins.net</t>
  </si>
  <si>
    <t>Lightning Bolts of Fury</t>
  </si>
  <si>
    <t>908-442-4377</t>
  </si>
  <si>
    <t>hunter.raymond@corpsyn.com</t>
  </si>
  <si>
    <t>Head Hunter</t>
  </si>
  <si>
    <t>651-325-8246</t>
  </si>
  <si>
    <t>jpitts@bannerengineering.com</t>
  </si>
  <si>
    <t>GO BLUE - MN</t>
  </si>
  <si>
    <t>209-587-0903</t>
  </si>
  <si>
    <t>jennifer.vincent@baldwin.com</t>
  </si>
  <si>
    <t>Go Blue! JV</t>
  </si>
  <si>
    <t>559-593-3709</t>
  </si>
  <si>
    <t>jbiggs@advantekbenefit.com</t>
  </si>
  <si>
    <t>Biggs Boyzz</t>
  </si>
  <si>
    <t>jonathan_lowe@swissre.com</t>
  </si>
  <si>
    <t>What's the Lowe Down</t>
  </si>
  <si>
    <t>386-212-5952</t>
  </si>
  <si>
    <t>kim.mcbee@foundationrp.net</t>
  </si>
  <si>
    <t>Team Specialty</t>
  </si>
  <si>
    <t>609-234-8127</t>
  </si>
  <si>
    <t>kristin.mcduffie@corpsyn.com</t>
  </si>
  <si>
    <t>Baby G.O.A.T</t>
  </si>
  <si>
    <t>lwaks@skywardinsurance.com</t>
  </si>
  <si>
    <t>Go Birds!</t>
  </si>
  <si>
    <t>337-288-2211</t>
  </si>
  <si>
    <t>LJR1720@aol.com</t>
  </si>
  <si>
    <t>Ragin Cajun</t>
  </si>
  <si>
    <t>630-655-3755</t>
  </si>
  <si>
    <t>lwalter@pbaclaims.com</t>
  </si>
  <si>
    <t>The Abominable Iron Sloths</t>
  </si>
  <si>
    <t>916-462-2118</t>
  </si>
  <si>
    <t>leslie.caruthers@hubinternational.com</t>
  </si>
  <si>
    <t>G&amp;G</t>
  </si>
  <si>
    <t>949-991-8304</t>
  </si>
  <si>
    <t xml:space="preserve">Linda@evolutionrisk.com  </t>
  </si>
  <si>
    <t>Subbi Snaps</t>
  </si>
  <si>
    <t>347-282-8597</t>
  </si>
  <si>
    <t>mshutel@amalgamatedbenefits.com</t>
  </si>
  <si>
    <t>Take Me Back To Revis Island</t>
  </si>
  <si>
    <t>916-742-5843</t>
  </si>
  <si>
    <t>marianna.gevorkian@hubinternational.com</t>
  </si>
  <si>
    <t>Not So Swift</t>
  </si>
  <si>
    <t>860-291-5844</t>
  </si>
  <si>
    <t>mdeforge@mrmstoploss.com</t>
  </si>
  <si>
    <t>DeForge to be Reckoned With</t>
  </si>
  <si>
    <t>559-227-1636</t>
  </si>
  <si>
    <t>mostdiek@jdoinsurance.com</t>
  </si>
  <si>
    <t>Lions Not Sheep</t>
  </si>
  <si>
    <t>910-977-3790</t>
  </si>
  <si>
    <t>mark.viereck@corpsyn.com</t>
  </si>
  <si>
    <t>Chaos Theory</t>
  </si>
  <si>
    <t>916-812-2919</t>
  </si>
  <si>
    <t>mcassayre@sanderjacobs.com</t>
  </si>
  <si>
    <t>Rebobs</t>
  </si>
  <si>
    <t>517-712-4864</t>
  </si>
  <si>
    <t>matt@downsconsult.com</t>
  </si>
  <si>
    <t>TouchDowns</t>
  </si>
  <si>
    <t>570-452-1173</t>
  </si>
  <si>
    <t>mlincoln@carbonstoploss.com</t>
  </si>
  <si>
    <t>Chase Jam</t>
  </si>
  <si>
    <t>773-255-1298</t>
  </si>
  <si>
    <t>melanie@evolutionrisk.com</t>
  </si>
  <si>
    <t>Bacon Wrapped Pigskins</t>
  </si>
  <si>
    <t>559-905-3464</t>
  </si>
  <si>
    <t>mpogue@healthcomp.com</t>
  </si>
  <si>
    <t>Babe's Faves</t>
  </si>
  <si>
    <t>980-275-9392</t>
  </si>
  <si>
    <t>michael.cortese@ktbenefits.com</t>
  </si>
  <si>
    <t>Big Sweaty</t>
  </si>
  <si>
    <t>559-288-9380</t>
  </si>
  <si>
    <t>mike.enzenbacher@bbrown.com</t>
  </si>
  <si>
    <t>Another Team of Bad Picks</t>
  </si>
  <si>
    <t>402-980-0909</t>
  </si>
  <si>
    <t>mjust@isu-inc.net</t>
  </si>
  <si>
    <t>Omaha! Omaha!</t>
  </si>
  <si>
    <t>559-905-2903</t>
  </si>
  <si>
    <t>michael.rea@brmsonline.com</t>
  </si>
  <si>
    <t>FlyEaglesFly</t>
  </si>
  <si>
    <t>951-403-2717</t>
  </si>
  <si>
    <t>myoung@skywardinsurance.com</t>
  </si>
  <si>
    <t>StopLossGuy</t>
  </si>
  <si>
    <t>661-316-5154</t>
  </si>
  <si>
    <t>monique.eubanks@insurica.com</t>
  </si>
  <si>
    <t>E-Money</t>
  </si>
  <si>
    <t>309-642-8504</t>
  </si>
  <si>
    <t>nrugaard@unland.com</t>
  </si>
  <si>
    <t>Big Nate</t>
  </si>
  <si>
    <t>nostdiek@jdoinsurance.com</t>
  </si>
  <si>
    <t>20FootJ</t>
  </si>
  <si>
    <t>559-243-4440</t>
  </si>
  <si>
    <t>nicole.logan@relationinsurance.com</t>
  </si>
  <si>
    <t>Monsters of the Midway</t>
  </si>
  <si>
    <t>860-921-1895</t>
  </si>
  <si>
    <t>riley.welter@corpsyn.com</t>
  </si>
  <si>
    <t>Big Blue</t>
  </si>
  <si>
    <t>559-228-4201</t>
  </si>
  <si>
    <t>rmaes@advantekbenefit.com</t>
  </si>
  <si>
    <t>Go Blue 16</t>
  </si>
  <si>
    <t>610-348-5051</t>
  </si>
  <si>
    <t>sgallagher@umexperts.com</t>
  </si>
  <si>
    <t>Brock the Casbah</t>
  </si>
  <si>
    <t>763-639-6284</t>
  </si>
  <si>
    <t>sarah.perry@voya.com</t>
  </si>
  <si>
    <t>Purple Reign</t>
  </si>
  <si>
    <t>925-785-9344</t>
  </si>
  <si>
    <t>stephmll5@aol.com</t>
  </si>
  <si>
    <t>Space Cowboy</t>
  </si>
  <si>
    <t>281-851-3171</t>
  </si>
  <si>
    <t>tip.millard@bhspecialty.com</t>
  </si>
  <si>
    <t>Gophers</t>
  </si>
  <si>
    <t>561-414-6210</t>
  </si>
  <si>
    <t>Todd.Lawrence@Acentria.com</t>
  </si>
  <si>
    <t>Da Baggz</t>
  </si>
  <si>
    <t>207-712-5712</t>
  </si>
  <si>
    <t>tracy.borden@getisls.com</t>
  </si>
  <si>
    <t>Tdog</t>
  </si>
  <si>
    <t>646-872-1816</t>
  </si>
  <si>
    <t>williemok.44@gmail.com</t>
  </si>
  <si>
    <t>Stingrays</t>
  </si>
  <si>
    <t>916-512-8340</t>
  </si>
  <si>
    <t>dpitts@xlbenefits.com</t>
  </si>
  <si>
    <t>XL Happy Cows</t>
  </si>
  <si>
    <t>704-819-6122</t>
  </si>
  <si>
    <t>jbaird@xlbenefits.com</t>
  </si>
  <si>
    <t>XL The Bryce is Right</t>
  </si>
  <si>
    <t>jlandziak@xlbenefits.com</t>
  </si>
  <si>
    <t>XL Boston Poindexters</t>
  </si>
  <si>
    <t>sam@edw4rds.com</t>
  </si>
  <si>
    <t>XL Samwise Gamgee</t>
  </si>
  <si>
    <t>Name</t>
  </si>
  <si>
    <t>Phone</t>
  </si>
  <si>
    <t>Email</t>
  </si>
  <si>
    <t>Team Name</t>
  </si>
  <si>
    <t>Week 1</t>
  </si>
  <si>
    <t>Week 2</t>
  </si>
  <si>
    <t>Week 3</t>
  </si>
  <si>
    <t>Week 4</t>
  </si>
  <si>
    <t>Week 5</t>
  </si>
  <si>
    <t>Week 6</t>
  </si>
  <si>
    <t>ROUND 1</t>
  </si>
  <si>
    <t>Week 7</t>
  </si>
  <si>
    <t>Week 8</t>
  </si>
  <si>
    <t>Week 9</t>
  </si>
  <si>
    <t>Week 10</t>
  </si>
  <si>
    <t>Week 11</t>
  </si>
  <si>
    <t>Week 12</t>
  </si>
  <si>
    <t>ROUND 2</t>
  </si>
  <si>
    <t>Week 13</t>
  </si>
  <si>
    <t>Week 14</t>
  </si>
  <si>
    <t>Week 15</t>
  </si>
  <si>
    <t>Week 16</t>
  </si>
  <si>
    <t>Week 17</t>
  </si>
  <si>
    <t>Week 18</t>
  </si>
  <si>
    <t>ROUND 3</t>
  </si>
  <si>
    <t>Season</t>
  </si>
  <si>
    <t>QB</t>
  </si>
  <si>
    <t>RB 1</t>
  </si>
  <si>
    <t>RB 2</t>
  </si>
  <si>
    <t>WR 1</t>
  </si>
  <si>
    <t>WR 2</t>
  </si>
  <si>
    <t>TE</t>
  </si>
  <si>
    <t>DST</t>
  </si>
  <si>
    <t>K</t>
  </si>
  <si>
    <t>Justin Fields</t>
  </si>
  <si>
    <t>Saquon Barkley</t>
  </si>
  <si>
    <t>James Conner</t>
  </si>
  <si>
    <t>Puka Nacua</t>
  </si>
  <si>
    <t>Jaxon Smith-Njigba</t>
  </si>
  <si>
    <t>Travis Kelce</t>
  </si>
  <si>
    <t>Baker Mayfield</t>
  </si>
  <si>
    <t>Christian McCaffrey</t>
  </si>
  <si>
    <t>Josh Jacobs</t>
  </si>
  <si>
    <t>Justin Jefferson</t>
  </si>
  <si>
    <t>DK Metcalf</t>
  </si>
  <si>
    <t>Tucker Kraft</t>
  </si>
  <si>
    <t>Joe Burrow</t>
  </si>
  <si>
    <t>James Cook</t>
  </si>
  <si>
    <t>Ja'Marr Chase</t>
  </si>
  <si>
    <t>Davante Adams</t>
  </si>
  <si>
    <t>Mark Andrews</t>
  </si>
  <si>
    <t>Drake Maye</t>
  </si>
  <si>
    <t>Bijan Robinson</t>
  </si>
  <si>
    <t>Drake London</t>
  </si>
  <si>
    <t>George Kittle</t>
  </si>
  <si>
    <t>Sam LaPorta</t>
  </si>
  <si>
    <t>De'Von Achane</t>
  </si>
  <si>
    <t>Alvin Kamara</t>
  </si>
  <si>
    <t>Amon-Ra St. Brown</t>
  </si>
  <si>
    <t>Brock Bowers</t>
  </si>
  <si>
    <t>Josh Allen</t>
  </si>
  <si>
    <t>Derrick Henry</t>
  </si>
  <si>
    <t>Emeka Egbuka</t>
  </si>
  <si>
    <t>Rome Odunze</t>
  </si>
  <si>
    <t>Chuba Hubbard</t>
  </si>
  <si>
    <t>Hunter Henry</t>
  </si>
  <si>
    <t>Caleb Williams</t>
  </si>
  <si>
    <t>Tetairoa McMillan</t>
  </si>
  <si>
    <t>Jalen Hurts</t>
  </si>
  <si>
    <t>Jahmyr Gibbs</t>
  </si>
  <si>
    <t>Bucky Irving</t>
  </si>
  <si>
    <t>Tyreek Hill</t>
  </si>
  <si>
    <t>TJ Hockenson</t>
  </si>
  <si>
    <t>De’Von Achane</t>
  </si>
  <si>
    <t>Cole Kmet</t>
  </si>
  <si>
    <t>Javonte Williams</t>
  </si>
  <si>
    <t>Dallas Goedert</t>
  </si>
  <si>
    <t>Pat Mahomes</t>
  </si>
  <si>
    <t>George Pickens</t>
  </si>
  <si>
    <t>Cam Skattebo</t>
  </si>
  <si>
    <t>Nico Collins</t>
  </si>
  <si>
    <t>Jonathan Taylor</t>
  </si>
  <si>
    <t>Tee Higgins</t>
  </si>
  <si>
    <t>Trey McBride</t>
  </si>
  <si>
    <t>Terry McLaurin</t>
  </si>
  <si>
    <t>Daniel Jones</t>
  </si>
  <si>
    <t>Browns</t>
  </si>
  <si>
    <t>Kyren Williams</t>
  </si>
  <si>
    <t>Bills</t>
  </si>
  <si>
    <t>Rico Dowdle</t>
  </si>
  <si>
    <t>Evan Engram</t>
  </si>
  <si>
    <t>Jordan Love</t>
  </si>
  <si>
    <t>Colston Loveland</t>
  </si>
  <si>
    <t>Marvin Harrison Jr</t>
  </si>
  <si>
    <t>Justin Herbert</t>
  </si>
  <si>
    <t>Jake Ferguson</t>
  </si>
  <si>
    <t>Chase Brown</t>
  </si>
  <si>
    <t>Brock Purdy</t>
  </si>
  <si>
    <t>Jaxson Dart</t>
  </si>
  <si>
    <t>Travis Etienne</t>
  </si>
  <si>
    <t>CeeDee Lamb</t>
  </si>
  <si>
    <t>Zay Flowers</t>
  </si>
  <si>
    <t>Lamar Jackson</t>
  </si>
  <si>
    <t>AJ Brown</t>
  </si>
  <si>
    <t>Breece Hall</t>
  </si>
  <si>
    <t>David Njoku</t>
  </si>
  <si>
    <t>Dak Prescott</t>
  </si>
  <si>
    <t>Rashee Rice</t>
  </si>
  <si>
    <t>JK Dobbins</t>
  </si>
  <si>
    <t>Ladd McConkey</t>
  </si>
  <si>
    <t>Jared Goff</t>
  </si>
  <si>
    <t>Jayden Daniels</t>
  </si>
  <si>
    <t>Jaylen Waddle</t>
  </si>
  <si>
    <t>Aubrey</t>
  </si>
  <si>
    <t>Gay</t>
  </si>
  <si>
    <t>Carlson</t>
  </si>
  <si>
    <t>Reichard</t>
  </si>
  <si>
    <t>Bates</t>
  </si>
  <si>
    <t>Dicker</t>
  </si>
  <si>
    <t>McLaughlin</t>
  </si>
  <si>
    <t>Elliott</t>
  </si>
  <si>
    <t>Fairbairn</t>
  </si>
  <si>
    <t>Boswell</t>
  </si>
  <si>
    <t>Prater</t>
  </si>
  <si>
    <t>Fitzgerald</t>
  </si>
  <si>
    <t>Gonzalez</t>
  </si>
  <si>
    <t>Moody</t>
  </si>
  <si>
    <t>Santos</t>
  </si>
  <si>
    <t>Butker</t>
  </si>
  <si>
    <t>Badgley</t>
  </si>
  <si>
    <t>Mevis</t>
  </si>
  <si>
    <t>PIT</t>
  </si>
  <si>
    <t>DEN</t>
  </si>
  <si>
    <t>BAL</t>
  </si>
  <si>
    <t>NE</t>
  </si>
  <si>
    <t>CHI</t>
  </si>
  <si>
    <t>TB</t>
  </si>
  <si>
    <t>MIN</t>
  </si>
  <si>
    <t>PHI</t>
  </si>
  <si>
    <t>SF</t>
  </si>
  <si>
    <t>ATL</t>
  </si>
  <si>
    <t>SEA</t>
  </si>
  <si>
    <t>DET</t>
  </si>
  <si>
    <t>IND</t>
  </si>
  <si>
    <t>GB</t>
  </si>
  <si>
    <t>HOU</t>
  </si>
  <si>
    <t>JAX</t>
  </si>
  <si>
    <t>KC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</si>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</sst>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F1E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EDF3E1"/>
        <bgColor indexed="64"/>
      </patternFill>
    </fill>
    <fill>
      <patternFill patternType="solid">
        <fgColor rgb="FFF8FDBB"/>
        <bgColor indexed="64"/>
      </patternFill>
    </fill>
    <fill>
      <patternFill patternType="solid">
        <fgColor rgb="FFF1EFF5"/>
        <bgColor indexed="64"/>
      </patternFill>
    </fill>
    <fill>
      <patternFill patternType="solid">
        <fgColor rgb="FFE2F2F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1" applyBorder="1"/>
    <xf numFmtId="0" fontId="0" fillId="4" borderId="1" xfId="0" applyFill="1" applyBorder="1"/>
    <xf numFmtId="0" fontId="1" fillId="0" borderId="0" xfId="1" applyBorder="1"/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6" borderId="11" xfId="0" applyFill="1" applyBorder="1"/>
    <xf numFmtId="0" fontId="0" fillId="2" borderId="12" xfId="0" applyFill="1" applyBorder="1"/>
    <xf numFmtId="0" fontId="0" fillId="7" borderId="13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3" xfId="0" applyFill="1" applyBorder="1"/>
    <xf numFmtId="0" fontId="2" fillId="5" borderId="2" xfId="0" applyFont="1" applyFill="1" applyBorder="1" applyAlignment="1">
      <alignment horizontal="center" vertical="center" wrapText="1"/>
    </xf>
    <xf numFmtId="0" fontId="0" fillId="8" borderId="14" xfId="0" applyFill="1" applyBorder="1"/>
    <xf numFmtId="0" fontId="0" fillId="9" borderId="14" xfId="0" applyFill="1" applyBorder="1"/>
    <xf numFmtId="0" fontId="0" fillId="9" borderId="1" xfId="0" applyFill="1" applyBorder="1"/>
    <xf numFmtId="0" fontId="0" fillId="10" borderId="14" xfId="0" applyFill="1" applyBorder="1"/>
    <xf numFmtId="0" fontId="0" fillId="10" borderId="1" xfId="0" applyFill="1" applyBorder="1"/>
    <xf numFmtId="0" fontId="0" fillId="11" borderId="14" xfId="0" applyFill="1" applyBorder="1"/>
    <xf numFmtId="0" fontId="0" fillId="12" borderId="14" xfId="0" applyFill="1" applyBorder="1"/>
    <xf numFmtId="0" fontId="0" fillId="13" borderId="1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nnifer.vincent@baldwin.com" TargetMode="External"/><Relationship Id="rId21" Type="http://schemas.openxmlformats.org/officeDocument/2006/relationships/hyperlink" Target="mailto:jbiggs@advantekbenefit.com" TargetMode="External"/><Relationship Id="rId42" Type="http://schemas.openxmlformats.org/officeDocument/2006/relationships/hyperlink" Target="mailto:michael.rea@brmsonline.com" TargetMode="External"/><Relationship Id="rId47" Type="http://schemas.openxmlformats.org/officeDocument/2006/relationships/hyperlink" Target="mailto:hunter.raymond@corpsyn.com" TargetMode="External"/><Relationship Id="rId63" Type="http://schemas.openxmlformats.org/officeDocument/2006/relationships/hyperlink" Target="mailto:kim.mcbee@foundationrp.net" TargetMode="External"/><Relationship Id="rId68" Type="http://schemas.openxmlformats.org/officeDocument/2006/relationships/hyperlink" Target="mailto:nrugaard@unland.com" TargetMode="External"/><Relationship Id="rId2" Type="http://schemas.openxmlformats.org/officeDocument/2006/relationships/hyperlink" Target="mailto:bthomas@iwins.com" TargetMode="External"/><Relationship Id="rId16" Type="http://schemas.openxmlformats.org/officeDocument/2006/relationships/hyperlink" Target="mailto:rmaes@advantekbenefit.com" TargetMode="External"/><Relationship Id="rId29" Type="http://schemas.openxmlformats.org/officeDocument/2006/relationships/hyperlink" Target="mailto:callie.porter@insurica.com" TargetMode="External"/><Relationship Id="rId11" Type="http://schemas.openxmlformats.org/officeDocument/2006/relationships/hyperlink" Target="mailto:melanie@evolutionrisk.com" TargetMode="External"/><Relationship Id="rId24" Type="http://schemas.openxmlformats.org/officeDocument/2006/relationships/hyperlink" Target="mailto:bill.hoitt@cfins.com" TargetMode="External"/><Relationship Id="rId32" Type="http://schemas.openxmlformats.org/officeDocument/2006/relationships/hyperlink" Target="mailto:mpogue@healthcomp.com" TargetMode="External"/><Relationship Id="rId37" Type="http://schemas.openxmlformats.org/officeDocument/2006/relationships/hyperlink" Target="mailto:Linda@evolutionrisk.com" TargetMode="External"/><Relationship Id="rId40" Type="http://schemas.openxmlformats.org/officeDocument/2006/relationships/hyperlink" Target="mailto:mjust@isu-inc.net" TargetMode="External"/><Relationship Id="rId45" Type="http://schemas.openxmlformats.org/officeDocument/2006/relationships/hyperlink" Target="mailto:bhunt@advantekbenefit.com" TargetMode="External"/><Relationship Id="rId53" Type="http://schemas.openxmlformats.org/officeDocument/2006/relationships/hyperlink" Target="mailto:ASEXTON@IBATPA.COM" TargetMode="External"/><Relationship Id="rId58" Type="http://schemas.openxmlformats.org/officeDocument/2006/relationships/hyperlink" Target="mailto:daniel.tillman@acentria.com" TargetMode="External"/><Relationship Id="rId66" Type="http://schemas.openxmlformats.org/officeDocument/2006/relationships/hyperlink" Target="mailto:mark.viereck@corpsyn.com" TargetMode="External"/><Relationship Id="rId5" Type="http://schemas.openxmlformats.org/officeDocument/2006/relationships/hyperlink" Target="mailto:monique.eubanks@insurica.com" TargetMode="External"/><Relationship Id="rId61" Type="http://schemas.openxmlformats.org/officeDocument/2006/relationships/hyperlink" Target="mailto:jonathan_lowe@swissre.com" TargetMode="External"/><Relationship Id="rId19" Type="http://schemas.openxmlformats.org/officeDocument/2006/relationships/hyperlink" Target="mailto:gbradley@assuredpc.com" TargetMode="External"/><Relationship Id="rId14" Type="http://schemas.openxmlformats.org/officeDocument/2006/relationships/hyperlink" Target="mailto:george@evolutionrisk.com" TargetMode="External"/><Relationship Id="rId22" Type="http://schemas.openxmlformats.org/officeDocument/2006/relationships/hyperlink" Target="mailto:gigi.walker@lpins.net" TargetMode="External"/><Relationship Id="rId27" Type="http://schemas.openxmlformats.org/officeDocument/2006/relationships/hyperlink" Target="mailto:dpitts@xlbenefits.com" TargetMode="External"/><Relationship Id="rId30" Type="http://schemas.openxmlformats.org/officeDocument/2006/relationships/hyperlink" Target="mailto:bflynn@onedigital.com" TargetMode="External"/><Relationship Id="rId35" Type="http://schemas.openxmlformats.org/officeDocument/2006/relationships/hyperlink" Target="mailto:mcassayre@sanderjacobs.com" TargetMode="External"/><Relationship Id="rId43" Type="http://schemas.openxmlformats.org/officeDocument/2006/relationships/hyperlink" Target="mailto:amit.shah@corpsyn.com" TargetMode="External"/><Relationship Id="rId48" Type="http://schemas.openxmlformats.org/officeDocument/2006/relationships/hyperlink" Target="mailto:LJR1720@aol.com" TargetMode="External"/><Relationship Id="rId56" Type="http://schemas.openxmlformats.org/officeDocument/2006/relationships/hyperlink" Target="mailto:Bryan.McManaway@corpsyn.com" TargetMode="External"/><Relationship Id="rId64" Type="http://schemas.openxmlformats.org/officeDocument/2006/relationships/hyperlink" Target="mailto:lwaks@skywardinsurance.com" TargetMode="External"/><Relationship Id="rId69" Type="http://schemas.openxmlformats.org/officeDocument/2006/relationships/hyperlink" Target="mailto:riley.welter@corpsyn.com" TargetMode="External"/><Relationship Id="rId8" Type="http://schemas.openxmlformats.org/officeDocument/2006/relationships/hyperlink" Target="mailto:ctgottwals@yahoo.com" TargetMode="External"/><Relationship Id="rId51" Type="http://schemas.openxmlformats.org/officeDocument/2006/relationships/hyperlink" Target="mailto:sam@edw4rds.com" TargetMode="External"/><Relationship Id="rId72" Type="http://schemas.openxmlformats.org/officeDocument/2006/relationships/hyperlink" Target="mailto:Todd.Lawrence@Acentria.com" TargetMode="External"/><Relationship Id="rId3" Type="http://schemas.openxmlformats.org/officeDocument/2006/relationships/hyperlink" Target="mailto:stephmll5@aol.com" TargetMode="External"/><Relationship Id="rId12" Type="http://schemas.openxmlformats.org/officeDocument/2006/relationships/hyperlink" Target="mailto:sarah.perry@voya.com" TargetMode="External"/><Relationship Id="rId17" Type="http://schemas.openxmlformats.org/officeDocument/2006/relationships/hyperlink" Target="mailto:rmaes@advantekbenefit.com" TargetMode="External"/><Relationship Id="rId25" Type="http://schemas.openxmlformats.org/officeDocument/2006/relationships/hyperlink" Target="mailto:jpitts@bannerengineering.com" TargetMode="External"/><Relationship Id="rId33" Type="http://schemas.openxmlformats.org/officeDocument/2006/relationships/hyperlink" Target="mailto:jbaird@xlbenefits.com" TargetMode="External"/><Relationship Id="rId38" Type="http://schemas.openxmlformats.org/officeDocument/2006/relationships/hyperlink" Target="mailto:myoung@skywardinsurance.com" TargetMode="External"/><Relationship Id="rId46" Type="http://schemas.openxmlformats.org/officeDocument/2006/relationships/hyperlink" Target="mailto:charles.michinock@bhspecialty.com" TargetMode="External"/><Relationship Id="rId59" Type="http://schemas.openxmlformats.org/officeDocument/2006/relationships/hyperlink" Target="mailto:erin_moloney@swissre.com" TargetMode="External"/><Relationship Id="rId67" Type="http://schemas.openxmlformats.org/officeDocument/2006/relationships/hyperlink" Target="mailto:mlincoln@carbonstoploss.com" TargetMode="External"/><Relationship Id="rId20" Type="http://schemas.openxmlformats.org/officeDocument/2006/relationships/hyperlink" Target="mailto:dgottwals@yahoo.com" TargetMode="External"/><Relationship Id="rId41" Type="http://schemas.openxmlformats.org/officeDocument/2006/relationships/hyperlink" Target="mailto:tracy.borden@getisls.com" TargetMode="External"/><Relationship Id="rId54" Type="http://schemas.openxmlformats.org/officeDocument/2006/relationships/hyperlink" Target="mailto:alyssa@is-benefits.com" TargetMode="External"/><Relationship Id="rId62" Type="http://schemas.openxmlformats.org/officeDocument/2006/relationships/hyperlink" Target="mailto:kristin.mcduffie@corpsyn.com" TargetMode="External"/><Relationship Id="rId70" Type="http://schemas.openxmlformats.org/officeDocument/2006/relationships/hyperlink" Target="mailto:sgallagher@umexperts.com" TargetMode="External"/><Relationship Id="rId1" Type="http://schemas.openxmlformats.org/officeDocument/2006/relationships/hyperlink" Target="mailto:nicole.logan@relationinsurance.com" TargetMode="External"/><Relationship Id="rId6" Type="http://schemas.openxmlformats.org/officeDocument/2006/relationships/hyperlink" Target="mailto:nostdiek@jdoinsurance.com" TargetMode="External"/><Relationship Id="rId15" Type="http://schemas.openxmlformats.org/officeDocument/2006/relationships/hyperlink" Target="mailto:bjoselit@cornellins.com" TargetMode="External"/><Relationship Id="rId23" Type="http://schemas.openxmlformats.org/officeDocument/2006/relationships/hyperlink" Target="mailto:leslie.caruthers@hubinternational.com" TargetMode="External"/><Relationship Id="rId28" Type="http://schemas.openxmlformats.org/officeDocument/2006/relationships/hyperlink" Target="mailto:ashley.oana@baldwin.com" TargetMode="External"/><Relationship Id="rId36" Type="http://schemas.openxmlformats.org/officeDocument/2006/relationships/hyperlink" Target="mailto:dnixon@pinnbrokers.com" TargetMode="External"/><Relationship Id="rId49" Type="http://schemas.openxmlformats.org/officeDocument/2006/relationships/hyperlink" Target="mailto:mshutel@amalgamatedbenefits.com" TargetMode="External"/><Relationship Id="rId57" Type="http://schemas.openxmlformats.org/officeDocument/2006/relationships/hyperlink" Target="mailto:cameron.katrena@partnerre.com" TargetMode="External"/><Relationship Id="rId10" Type="http://schemas.openxmlformats.org/officeDocument/2006/relationships/hyperlink" Target="mailto:mdeforge@mrmstoploss.com" TargetMode="External"/><Relationship Id="rId31" Type="http://schemas.openxmlformats.org/officeDocument/2006/relationships/hyperlink" Target="mailto:matt@downsconsult.com" TargetMode="External"/><Relationship Id="rId44" Type="http://schemas.openxmlformats.org/officeDocument/2006/relationships/hyperlink" Target="mailto:billy.wilkins@voya.com" TargetMode="External"/><Relationship Id="rId52" Type="http://schemas.openxmlformats.org/officeDocument/2006/relationships/hyperlink" Target="mailto:adam.roberts@hmig.com" TargetMode="External"/><Relationship Id="rId60" Type="http://schemas.openxmlformats.org/officeDocument/2006/relationships/hyperlink" Target="mailto:evan@evolutionrisk.com" TargetMode="External"/><Relationship Id="rId65" Type="http://schemas.openxmlformats.org/officeDocument/2006/relationships/hyperlink" Target="mailto:lwalter@pbaclaims.com" TargetMode="External"/><Relationship Id="rId73" Type="http://schemas.openxmlformats.org/officeDocument/2006/relationships/hyperlink" Target="mailto:williemok.44@gmail.com" TargetMode="External"/><Relationship Id="rId4" Type="http://schemas.openxmlformats.org/officeDocument/2006/relationships/hyperlink" Target="mailto:mike.enzenbacher@bbrown.com" TargetMode="External"/><Relationship Id="rId9" Type="http://schemas.openxmlformats.org/officeDocument/2006/relationships/hyperlink" Target="mailto:mostdiek@jdoinsurance.com" TargetMode="External"/><Relationship Id="rId13" Type="http://schemas.openxmlformats.org/officeDocument/2006/relationships/hyperlink" Target="mailto:Chad@evolutionrisk.com" TargetMode="External"/><Relationship Id="rId18" Type="http://schemas.openxmlformats.org/officeDocument/2006/relationships/hyperlink" Target="mailto:brian@evolutionrisk.com" TargetMode="External"/><Relationship Id="rId39" Type="http://schemas.openxmlformats.org/officeDocument/2006/relationships/hyperlink" Target="mailto:michael.cortese@ktbenefits.com" TargetMode="External"/><Relationship Id="rId34" Type="http://schemas.openxmlformats.org/officeDocument/2006/relationships/hyperlink" Target="mailto:Alex@evolutionrisk.com" TargetMode="External"/><Relationship Id="rId50" Type="http://schemas.openxmlformats.org/officeDocument/2006/relationships/hyperlink" Target="mailto:marianna.gevorkian@hubinternational.com" TargetMode="External"/><Relationship Id="rId55" Type="http://schemas.openxmlformats.org/officeDocument/2006/relationships/hyperlink" Target="mailto:brian.mercier@acentria.com" TargetMode="External"/><Relationship Id="rId7" Type="http://schemas.openxmlformats.org/officeDocument/2006/relationships/hyperlink" Target="mailto:bmaas@naviabenefits.com" TargetMode="External"/><Relationship Id="rId71" Type="http://schemas.openxmlformats.org/officeDocument/2006/relationships/hyperlink" Target="mailto:tip.millard@bhspecial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A7A6-49BE-4C52-8A28-C91F79590997}">
  <dimension ref="A1:AH73"/>
  <sheetViews>
    <sheetView tabSelected="1" topLeftCell="D1" zoomScale="70" zoomScaleNormal="70" workbookViewId="0">
      <selection activeCell="AG66" sqref="AG66"/>
    </sheetView>
  </sheetViews>
  <sheetFormatPr defaultRowHeight="14.5" x14ac:dyDescent="0.35"/>
  <cols>
    <col min="1" max="1" width="22" customWidth="1"/>
    <col min="2" max="2" width="8.26953125" customWidth="1"/>
    <col min="3" max="3" width="9" customWidth="1"/>
    <col min="4" max="4" width="25.81640625" customWidth="1"/>
    <col min="5" max="18" width="5.54296875" customWidth="1"/>
    <col min="19" max="25" width="2.1796875" customWidth="1"/>
    <col min="26" max="26" width="5.54296875" customWidth="1"/>
    <col min="27" max="34" width="14.453125" customWidth="1"/>
  </cols>
  <sheetData>
    <row r="1" spans="1:34" ht="96.5" thickBot="1" x14ac:dyDescent="0.4">
      <c r="A1" s="7" t="s">
        <v>282</v>
      </c>
      <c r="B1" s="7" t="s">
        <v>283</v>
      </c>
      <c r="C1" s="7" t="s">
        <v>284</v>
      </c>
      <c r="D1" s="7" t="s">
        <v>285</v>
      </c>
      <c r="E1" s="8" t="s">
        <v>286</v>
      </c>
      <c r="F1" s="9" t="s">
        <v>287</v>
      </c>
      <c r="G1" s="8" t="s">
        <v>288</v>
      </c>
      <c r="H1" s="9" t="s">
        <v>289</v>
      </c>
      <c r="I1" s="8" t="s">
        <v>290</v>
      </c>
      <c r="J1" s="9" t="s">
        <v>291</v>
      </c>
      <c r="K1" s="10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0" t="s">
        <v>299</v>
      </c>
      <c r="S1" s="11" t="s">
        <v>300</v>
      </c>
      <c r="T1" s="11" t="s">
        <v>301</v>
      </c>
      <c r="U1" s="11" t="s">
        <v>302</v>
      </c>
      <c r="V1" s="11" t="s">
        <v>303</v>
      </c>
      <c r="W1" s="11" t="s">
        <v>304</v>
      </c>
      <c r="X1" s="11" t="s">
        <v>305</v>
      </c>
      <c r="Y1" s="10" t="s">
        <v>306</v>
      </c>
      <c r="Z1" s="10" t="s">
        <v>307</v>
      </c>
      <c r="AA1" s="24" t="s">
        <v>308</v>
      </c>
      <c r="AB1" s="24" t="s">
        <v>309</v>
      </c>
      <c r="AC1" s="7" t="s">
        <v>310</v>
      </c>
      <c r="AD1" s="24" t="s">
        <v>311</v>
      </c>
      <c r="AE1" s="7" t="s">
        <v>312</v>
      </c>
      <c r="AF1" s="24" t="s">
        <v>313</v>
      </c>
      <c r="AG1" s="24" t="s">
        <v>314</v>
      </c>
      <c r="AH1" s="24" t="s">
        <v>315</v>
      </c>
    </row>
    <row r="2" spans="1:34" x14ac:dyDescent="0.35">
      <c r="A2" s="1" t="s">
        <v>0</v>
      </c>
      <c r="B2" s="3" t="s">
        <v>72</v>
      </c>
      <c r="C2" s="4" t="s">
        <v>73</v>
      </c>
      <c r="D2" s="3" t="s">
        <v>74</v>
      </c>
      <c r="E2" s="12">
        <v>132</v>
      </c>
      <c r="F2" s="13">
        <v>117</v>
      </c>
      <c r="G2" s="13">
        <v>91</v>
      </c>
      <c r="H2" s="13">
        <v>137</v>
      </c>
      <c r="I2" s="13">
        <v>126</v>
      </c>
      <c r="J2" s="14">
        <v>90</v>
      </c>
      <c r="K2" s="15">
        <f t="shared" ref="K2:K33" si="0">SUM(E2:J2)</f>
        <v>693</v>
      </c>
      <c r="L2" s="16">
        <v>63</v>
      </c>
      <c r="M2" s="12">
        <v>84</v>
      </c>
      <c r="N2" s="12">
        <v>84</v>
      </c>
      <c r="O2" s="13">
        <v>76</v>
      </c>
      <c r="P2" s="13">
        <v>118</v>
      </c>
      <c r="Q2" s="14"/>
      <c r="R2" s="15">
        <f t="shared" ref="R2:R33" si="1">SUM(L2:Q2)</f>
        <v>425</v>
      </c>
      <c r="S2" s="16"/>
      <c r="T2" s="12"/>
      <c r="U2" s="12"/>
      <c r="V2" s="1"/>
      <c r="W2" s="13"/>
      <c r="X2" s="14"/>
      <c r="Y2" s="15">
        <f t="shared" ref="Y2:Y33" si="2">SUM(S2:X2)</f>
        <v>0</v>
      </c>
      <c r="Z2" s="17">
        <f t="shared" ref="Z2:Z33" si="3">SUM(Y2,R2,K2)</f>
        <v>1118</v>
      </c>
      <c r="AA2" s="25" t="s">
        <v>316</v>
      </c>
      <c r="AB2" s="26" t="s">
        <v>317</v>
      </c>
      <c r="AC2" s="27" t="s">
        <v>318</v>
      </c>
      <c r="AD2" s="28" t="s">
        <v>319</v>
      </c>
      <c r="AE2" s="29" t="s">
        <v>320</v>
      </c>
      <c r="AF2" s="30" t="s">
        <v>321</v>
      </c>
      <c r="AG2" s="31" t="s">
        <v>413</v>
      </c>
      <c r="AH2" s="32" t="s">
        <v>395</v>
      </c>
    </row>
    <row r="3" spans="1:34" x14ac:dyDescent="0.35">
      <c r="A3" s="2" t="s">
        <v>1</v>
      </c>
      <c r="B3" s="3" t="s">
        <v>75</v>
      </c>
      <c r="C3" s="4" t="s">
        <v>76</v>
      </c>
      <c r="D3" s="3" t="s">
        <v>77</v>
      </c>
      <c r="E3" s="12">
        <v>109</v>
      </c>
      <c r="F3" s="13">
        <v>139</v>
      </c>
      <c r="G3" s="13">
        <v>91</v>
      </c>
      <c r="H3" s="13">
        <v>99</v>
      </c>
      <c r="I3" s="13">
        <v>90</v>
      </c>
      <c r="J3" s="14">
        <v>81</v>
      </c>
      <c r="K3" s="15">
        <f t="shared" si="0"/>
        <v>609</v>
      </c>
      <c r="L3" s="16">
        <v>131</v>
      </c>
      <c r="M3" s="12">
        <v>100</v>
      </c>
      <c r="N3" s="12">
        <v>104</v>
      </c>
      <c r="O3" s="13">
        <v>99</v>
      </c>
      <c r="P3" s="13">
        <v>107</v>
      </c>
      <c r="Q3" s="14"/>
      <c r="R3" s="15">
        <f t="shared" si="1"/>
        <v>541</v>
      </c>
      <c r="S3" s="16"/>
      <c r="T3" s="12"/>
      <c r="U3" s="12"/>
      <c r="V3" s="1"/>
      <c r="W3" s="13"/>
      <c r="X3" s="14"/>
      <c r="Y3" s="15">
        <f t="shared" si="2"/>
        <v>0</v>
      </c>
      <c r="Z3" s="17">
        <f t="shared" si="3"/>
        <v>1150</v>
      </c>
      <c r="AA3" s="25" t="s">
        <v>322</v>
      </c>
      <c r="AB3" s="26" t="s">
        <v>323</v>
      </c>
      <c r="AC3" s="27" t="s">
        <v>324</v>
      </c>
      <c r="AD3" s="28" t="s">
        <v>325</v>
      </c>
      <c r="AE3" s="29" t="s">
        <v>326</v>
      </c>
      <c r="AF3" s="30" t="s">
        <v>327</v>
      </c>
      <c r="AG3" s="31" t="s">
        <v>413</v>
      </c>
      <c r="AH3" s="32" t="s">
        <v>395</v>
      </c>
    </row>
    <row r="4" spans="1:34" x14ac:dyDescent="0.35">
      <c r="A4" s="1" t="s">
        <v>2</v>
      </c>
      <c r="B4" s="3" t="s">
        <v>78</v>
      </c>
      <c r="C4" s="4" t="s">
        <v>79</v>
      </c>
      <c r="D4" s="3" t="s">
        <v>80</v>
      </c>
      <c r="E4" s="12">
        <v>92</v>
      </c>
      <c r="F4" s="13">
        <v>133</v>
      </c>
      <c r="G4" s="13">
        <v>107</v>
      </c>
      <c r="H4" s="13">
        <v>90</v>
      </c>
      <c r="I4" s="13">
        <v>94</v>
      </c>
      <c r="J4" s="14">
        <v>94</v>
      </c>
      <c r="K4" s="15">
        <f t="shared" si="0"/>
        <v>610</v>
      </c>
      <c r="L4" s="16">
        <v>98</v>
      </c>
      <c r="M4" s="12">
        <v>110</v>
      </c>
      <c r="N4" s="12">
        <v>88</v>
      </c>
      <c r="O4" s="13">
        <v>76</v>
      </c>
      <c r="P4" s="13">
        <v>77</v>
      </c>
      <c r="Q4" s="14"/>
      <c r="R4" s="15">
        <f t="shared" si="1"/>
        <v>449</v>
      </c>
      <c r="S4" s="16"/>
      <c r="T4" s="12"/>
      <c r="U4" s="12"/>
      <c r="V4" s="1"/>
      <c r="W4" s="13"/>
      <c r="X4" s="14"/>
      <c r="Y4" s="15">
        <f t="shared" si="2"/>
        <v>0</v>
      </c>
      <c r="Z4" s="17">
        <f t="shared" si="3"/>
        <v>1059</v>
      </c>
      <c r="AA4" s="25" t="s">
        <v>328</v>
      </c>
      <c r="AB4" s="26" t="s">
        <v>317</v>
      </c>
      <c r="AC4" s="27" t="s">
        <v>329</v>
      </c>
      <c r="AD4" s="28" t="s">
        <v>330</v>
      </c>
      <c r="AE4" s="29" t="s">
        <v>331</v>
      </c>
      <c r="AF4" s="30" t="s">
        <v>332</v>
      </c>
      <c r="AG4" s="31" t="s">
        <v>414</v>
      </c>
      <c r="AH4" s="32" t="s">
        <v>395</v>
      </c>
    </row>
    <row r="5" spans="1:34" x14ac:dyDescent="0.35">
      <c r="A5" s="2" t="s">
        <v>3</v>
      </c>
      <c r="B5" s="3"/>
      <c r="C5" s="4" t="s">
        <v>81</v>
      </c>
      <c r="D5" s="3" t="s">
        <v>82</v>
      </c>
      <c r="E5" s="12">
        <v>92</v>
      </c>
      <c r="F5" s="13">
        <v>143</v>
      </c>
      <c r="G5" s="13">
        <v>78</v>
      </c>
      <c r="H5" s="13">
        <v>98</v>
      </c>
      <c r="I5" s="13">
        <v>125</v>
      </c>
      <c r="J5" s="14">
        <v>82</v>
      </c>
      <c r="K5" s="15">
        <f t="shared" si="0"/>
        <v>618</v>
      </c>
      <c r="L5" s="16">
        <v>116</v>
      </c>
      <c r="M5" s="12">
        <v>100</v>
      </c>
      <c r="N5" s="12">
        <v>142</v>
      </c>
      <c r="O5" s="13">
        <v>132</v>
      </c>
      <c r="P5" s="13">
        <v>124</v>
      </c>
      <c r="Q5" s="14"/>
      <c r="R5" s="15">
        <f t="shared" si="1"/>
        <v>614</v>
      </c>
      <c r="S5" s="16"/>
      <c r="T5" s="12"/>
      <c r="U5" s="12"/>
      <c r="V5" s="1"/>
      <c r="W5" s="13"/>
      <c r="X5" s="14"/>
      <c r="Y5" s="15">
        <f t="shared" si="2"/>
        <v>0</v>
      </c>
      <c r="Z5" s="17">
        <f t="shared" si="3"/>
        <v>1232</v>
      </c>
      <c r="AA5" s="25" t="s">
        <v>333</v>
      </c>
      <c r="AB5" s="26" t="s">
        <v>334</v>
      </c>
      <c r="AC5" s="27" t="s">
        <v>324</v>
      </c>
      <c r="AD5" s="28" t="s">
        <v>325</v>
      </c>
      <c r="AE5" s="29" t="s">
        <v>335</v>
      </c>
      <c r="AF5" s="30" t="s">
        <v>336</v>
      </c>
      <c r="AG5" s="31" t="s">
        <v>414</v>
      </c>
      <c r="AH5" s="32" t="s">
        <v>395</v>
      </c>
    </row>
    <row r="6" spans="1:34" x14ac:dyDescent="0.35">
      <c r="A6" s="2" t="s">
        <v>4</v>
      </c>
      <c r="B6" s="3" t="s">
        <v>83</v>
      </c>
      <c r="C6" s="4" t="s">
        <v>84</v>
      </c>
      <c r="D6" s="3" t="s">
        <v>85</v>
      </c>
      <c r="E6" s="12">
        <v>100</v>
      </c>
      <c r="F6" s="13">
        <v>125</v>
      </c>
      <c r="G6" s="13">
        <v>128</v>
      </c>
      <c r="H6" s="13">
        <v>100</v>
      </c>
      <c r="I6" s="13">
        <v>115</v>
      </c>
      <c r="J6" s="14">
        <v>110</v>
      </c>
      <c r="K6" s="15">
        <f t="shared" si="0"/>
        <v>678</v>
      </c>
      <c r="L6" s="16">
        <v>149</v>
      </c>
      <c r="M6" s="12">
        <v>63</v>
      </c>
      <c r="N6" s="18">
        <v>182</v>
      </c>
      <c r="O6" s="13">
        <v>129</v>
      </c>
      <c r="P6" s="13">
        <v>130</v>
      </c>
      <c r="Q6" s="14"/>
      <c r="R6" s="15">
        <f t="shared" si="1"/>
        <v>653</v>
      </c>
      <c r="S6" s="16"/>
      <c r="T6" s="12"/>
      <c r="U6" s="12"/>
      <c r="V6" s="1"/>
      <c r="W6" s="13"/>
      <c r="X6" s="14"/>
      <c r="Y6" s="15">
        <f t="shared" si="2"/>
        <v>0</v>
      </c>
      <c r="Z6" s="17">
        <f t="shared" si="3"/>
        <v>1331</v>
      </c>
      <c r="AA6" s="25" t="s">
        <v>333</v>
      </c>
      <c r="AB6" s="26" t="s">
        <v>334</v>
      </c>
      <c r="AC6" s="27" t="s">
        <v>323</v>
      </c>
      <c r="AD6" s="28" t="s">
        <v>331</v>
      </c>
      <c r="AE6" s="29" t="s">
        <v>335</v>
      </c>
      <c r="AF6" s="30" t="s">
        <v>337</v>
      </c>
      <c r="AG6" s="31" t="s">
        <v>414</v>
      </c>
      <c r="AH6" s="32" t="s">
        <v>396</v>
      </c>
    </row>
    <row r="7" spans="1:34" x14ac:dyDescent="0.35">
      <c r="A7" s="1" t="s">
        <v>5</v>
      </c>
      <c r="B7" s="3" t="s">
        <v>86</v>
      </c>
      <c r="C7" s="4" t="s">
        <v>87</v>
      </c>
      <c r="D7" s="3" t="s">
        <v>88</v>
      </c>
      <c r="E7" s="12">
        <v>82</v>
      </c>
      <c r="F7" s="13">
        <v>161</v>
      </c>
      <c r="G7" s="13">
        <v>69</v>
      </c>
      <c r="H7" s="13">
        <v>80</v>
      </c>
      <c r="I7" s="13">
        <v>86</v>
      </c>
      <c r="J7" s="14">
        <v>97</v>
      </c>
      <c r="K7" s="15">
        <f t="shared" si="0"/>
        <v>575</v>
      </c>
      <c r="L7" s="16">
        <v>78</v>
      </c>
      <c r="M7" s="12">
        <v>53</v>
      </c>
      <c r="N7" s="12">
        <v>112</v>
      </c>
      <c r="O7" s="13">
        <v>85</v>
      </c>
      <c r="P7" s="13">
        <v>69</v>
      </c>
      <c r="Q7" s="14"/>
      <c r="R7" s="15">
        <f t="shared" si="1"/>
        <v>397</v>
      </c>
      <c r="S7" s="16"/>
      <c r="T7" s="12"/>
      <c r="U7" s="12"/>
      <c r="V7" s="1"/>
      <c r="W7" s="13"/>
      <c r="X7" s="14"/>
      <c r="Y7" s="15">
        <f t="shared" si="2"/>
        <v>0</v>
      </c>
      <c r="Z7" s="17">
        <f t="shared" si="3"/>
        <v>972</v>
      </c>
      <c r="AA7" s="25" t="s">
        <v>328</v>
      </c>
      <c r="AB7" s="26" t="s">
        <v>338</v>
      </c>
      <c r="AC7" s="27" t="s">
        <v>339</v>
      </c>
      <c r="AD7" s="28" t="s">
        <v>330</v>
      </c>
      <c r="AE7" s="29" t="s">
        <v>340</v>
      </c>
      <c r="AF7" s="30" t="s">
        <v>341</v>
      </c>
      <c r="AG7" s="31" t="s">
        <v>415</v>
      </c>
      <c r="AH7" s="32" t="s">
        <v>397</v>
      </c>
    </row>
    <row r="8" spans="1:34" x14ac:dyDescent="0.35">
      <c r="A8" s="2" t="s">
        <v>6</v>
      </c>
      <c r="B8" s="3" t="s">
        <v>89</v>
      </c>
      <c r="C8" s="4" t="s">
        <v>90</v>
      </c>
      <c r="D8" s="3" t="s">
        <v>91</v>
      </c>
      <c r="E8" s="12">
        <v>85</v>
      </c>
      <c r="F8" s="13">
        <v>115</v>
      </c>
      <c r="G8" s="13">
        <v>67</v>
      </c>
      <c r="H8" s="13">
        <v>53</v>
      </c>
      <c r="I8" s="13">
        <v>87</v>
      </c>
      <c r="J8" s="14">
        <v>92</v>
      </c>
      <c r="K8" s="15">
        <f t="shared" si="0"/>
        <v>499</v>
      </c>
      <c r="L8" s="16">
        <v>99</v>
      </c>
      <c r="M8" s="12">
        <v>128</v>
      </c>
      <c r="N8" s="12">
        <v>99</v>
      </c>
      <c r="O8" s="13">
        <v>121</v>
      </c>
      <c r="P8" s="13">
        <v>141</v>
      </c>
      <c r="Q8" s="14"/>
      <c r="R8" s="15">
        <f t="shared" si="1"/>
        <v>588</v>
      </c>
      <c r="S8" s="16"/>
      <c r="T8" s="12"/>
      <c r="U8" s="12"/>
      <c r="V8" s="1"/>
      <c r="W8" s="13"/>
      <c r="X8" s="14"/>
      <c r="Y8" s="15">
        <f t="shared" si="2"/>
        <v>0</v>
      </c>
      <c r="Z8" s="17">
        <f t="shared" si="3"/>
        <v>1087</v>
      </c>
      <c r="AA8" s="25" t="s">
        <v>342</v>
      </c>
      <c r="AB8" s="26" t="s">
        <v>343</v>
      </c>
      <c r="AC8" s="27" t="s">
        <v>323</v>
      </c>
      <c r="AD8" s="28" t="s">
        <v>344</v>
      </c>
      <c r="AE8" s="29" t="s">
        <v>345</v>
      </c>
      <c r="AF8" s="30" t="s">
        <v>327</v>
      </c>
      <c r="AG8" s="31" t="s">
        <v>414</v>
      </c>
      <c r="AH8" s="32" t="s">
        <v>395</v>
      </c>
    </row>
    <row r="9" spans="1:34" x14ac:dyDescent="0.35">
      <c r="A9" s="2" t="s">
        <v>7</v>
      </c>
      <c r="B9" s="3" t="s">
        <v>92</v>
      </c>
      <c r="C9" s="4" t="s">
        <v>93</v>
      </c>
      <c r="D9" s="3" t="s">
        <v>94</v>
      </c>
      <c r="E9" s="12">
        <v>118</v>
      </c>
      <c r="F9" s="13">
        <v>123</v>
      </c>
      <c r="G9" s="13">
        <v>54</v>
      </c>
      <c r="H9" s="13">
        <v>62</v>
      </c>
      <c r="I9" s="13">
        <v>75</v>
      </c>
      <c r="J9" s="14">
        <v>63</v>
      </c>
      <c r="K9" s="15">
        <f t="shared" si="0"/>
        <v>495</v>
      </c>
      <c r="L9" s="16">
        <v>141</v>
      </c>
      <c r="M9" s="12">
        <v>105</v>
      </c>
      <c r="N9" s="12">
        <v>101</v>
      </c>
      <c r="O9" s="13">
        <v>75</v>
      </c>
      <c r="P9" s="13">
        <v>97</v>
      </c>
      <c r="Q9" s="14"/>
      <c r="R9" s="15">
        <f t="shared" si="1"/>
        <v>519</v>
      </c>
      <c r="S9" s="16"/>
      <c r="T9" s="12"/>
      <c r="U9" s="12"/>
      <c r="V9" s="1"/>
      <c r="W9" s="13"/>
      <c r="X9" s="14"/>
      <c r="Y9" s="15">
        <f t="shared" si="2"/>
        <v>0</v>
      </c>
      <c r="Z9" s="17">
        <f t="shared" si="3"/>
        <v>1014</v>
      </c>
      <c r="AA9" s="25" t="s">
        <v>333</v>
      </c>
      <c r="AB9" s="26" t="s">
        <v>323</v>
      </c>
      <c r="AC9" s="27" t="s">
        <v>346</v>
      </c>
      <c r="AD9" s="28" t="s">
        <v>325</v>
      </c>
      <c r="AE9" s="29" t="s">
        <v>326</v>
      </c>
      <c r="AF9" s="30" t="s">
        <v>347</v>
      </c>
      <c r="AG9" s="31" t="s">
        <v>416</v>
      </c>
      <c r="AH9" s="32" t="s">
        <v>398</v>
      </c>
    </row>
    <row r="10" spans="1:34" x14ac:dyDescent="0.35">
      <c r="A10" s="2" t="s">
        <v>8</v>
      </c>
      <c r="B10" s="3" t="s">
        <v>95</v>
      </c>
      <c r="C10" s="4" t="s">
        <v>96</v>
      </c>
      <c r="D10" s="3" t="s">
        <v>97</v>
      </c>
      <c r="E10" s="12">
        <v>76</v>
      </c>
      <c r="F10" s="13">
        <v>109</v>
      </c>
      <c r="G10" s="13">
        <v>86</v>
      </c>
      <c r="H10" s="13">
        <v>75</v>
      </c>
      <c r="I10" s="13">
        <v>105</v>
      </c>
      <c r="J10" s="14">
        <v>84</v>
      </c>
      <c r="K10" s="15">
        <f t="shared" si="0"/>
        <v>535</v>
      </c>
      <c r="L10" s="16">
        <v>125</v>
      </c>
      <c r="M10" s="12">
        <v>144</v>
      </c>
      <c r="N10" s="12">
        <v>107</v>
      </c>
      <c r="O10" s="13">
        <v>99</v>
      </c>
      <c r="P10" s="13">
        <v>107</v>
      </c>
      <c r="Q10" s="14"/>
      <c r="R10" s="15">
        <f t="shared" si="1"/>
        <v>582</v>
      </c>
      <c r="S10" s="16"/>
      <c r="T10" s="12"/>
      <c r="U10" s="12"/>
      <c r="V10" s="1"/>
      <c r="W10" s="13"/>
      <c r="X10" s="14"/>
      <c r="Y10" s="15">
        <f t="shared" si="2"/>
        <v>0</v>
      </c>
      <c r="Z10" s="17">
        <f t="shared" si="3"/>
        <v>1117</v>
      </c>
      <c r="AA10" s="25" t="s">
        <v>333</v>
      </c>
      <c r="AB10" s="26" t="s">
        <v>323</v>
      </c>
      <c r="AC10" s="27" t="s">
        <v>329</v>
      </c>
      <c r="AD10" s="28" t="s">
        <v>319</v>
      </c>
      <c r="AE10" s="29" t="s">
        <v>345</v>
      </c>
      <c r="AF10" s="30" t="s">
        <v>327</v>
      </c>
      <c r="AG10" s="31" t="s">
        <v>416</v>
      </c>
      <c r="AH10" s="32" t="s">
        <v>395</v>
      </c>
    </row>
    <row r="11" spans="1:34" x14ac:dyDescent="0.35">
      <c r="A11" s="2" t="s">
        <v>9</v>
      </c>
      <c r="B11" s="3" t="s">
        <v>98</v>
      </c>
      <c r="C11" s="4" t="s">
        <v>99</v>
      </c>
      <c r="D11" s="3" t="s">
        <v>100</v>
      </c>
      <c r="E11" s="12">
        <v>99</v>
      </c>
      <c r="F11" s="13">
        <v>81</v>
      </c>
      <c r="G11" s="13">
        <v>91</v>
      </c>
      <c r="H11" s="13">
        <v>69</v>
      </c>
      <c r="I11" s="13">
        <v>94</v>
      </c>
      <c r="J11" s="14">
        <v>88</v>
      </c>
      <c r="K11" s="15">
        <f t="shared" si="0"/>
        <v>522</v>
      </c>
      <c r="L11" s="16">
        <v>99</v>
      </c>
      <c r="M11" s="12">
        <v>76</v>
      </c>
      <c r="N11" s="12">
        <v>146</v>
      </c>
      <c r="O11" s="13">
        <v>107</v>
      </c>
      <c r="P11" s="13">
        <v>151</v>
      </c>
      <c r="Q11" s="14"/>
      <c r="R11" s="15">
        <f t="shared" si="1"/>
        <v>579</v>
      </c>
      <c r="S11" s="16"/>
      <c r="T11" s="12"/>
      <c r="U11" s="12"/>
      <c r="V11" s="1"/>
      <c r="W11" s="13"/>
      <c r="X11" s="14"/>
      <c r="Y11" s="15">
        <f t="shared" si="2"/>
        <v>0</v>
      </c>
      <c r="Z11" s="17">
        <f t="shared" si="3"/>
        <v>1101</v>
      </c>
      <c r="AA11" s="25" t="s">
        <v>348</v>
      </c>
      <c r="AB11" s="26" t="s">
        <v>334</v>
      </c>
      <c r="AC11" s="27" t="s">
        <v>323</v>
      </c>
      <c r="AD11" s="28" t="s">
        <v>349</v>
      </c>
      <c r="AE11" s="29" t="s">
        <v>345</v>
      </c>
      <c r="AF11" s="30" t="s">
        <v>347</v>
      </c>
      <c r="AG11" s="31" t="s">
        <v>413</v>
      </c>
      <c r="AH11" s="32" t="s">
        <v>396</v>
      </c>
    </row>
    <row r="12" spans="1:34" x14ac:dyDescent="0.35">
      <c r="A12" s="1" t="s">
        <v>10</v>
      </c>
      <c r="B12" s="3" t="s">
        <v>101</v>
      </c>
      <c r="C12" s="4" t="s">
        <v>102</v>
      </c>
      <c r="D12" s="3" t="s">
        <v>103</v>
      </c>
      <c r="E12" s="12">
        <v>103</v>
      </c>
      <c r="F12" s="13">
        <v>124</v>
      </c>
      <c r="G12" s="13">
        <v>139</v>
      </c>
      <c r="H12" s="13">
        <v>115</v>
      </c>
      <c r="I12" s="13">
        <v>121</v>
      </c>
      <c r="J12" s="14">
        <v>112</v>
      </c>
      <c r="K12" s="15">
        <f t="shared" si="0"/>
        <v>714</v>
      </c>
      <c r="L12" s="16">
        <v>135</v>
      </c>
      <c r="M12" s="12">
        <v>87</v>
      </c>
      <c r="N12" s="12">
        <v>58</v>
      </c>
      <c r="O12" s="13">
        <v>76</v>
      </c>
      <c r="P12" s="13">
        <v>87</v>
      </c>
      <c r="Q12" s="14"/>
      <c r="R12" s="15">
        <f t="shared" si="1"/>
        <v>443</v>
      </c>
      <c r="S12" s="16"/>
      <c r="T12" s="12"/>
      <c r="U12" s="12"/>
      <c r="V12" s="1"/>
      <c r="W12" s="13"/>
      <c r="X12" s="14"/>
      <c r="Y12" s="15">
        <f t="shared" si="2"/>
        <v>0</v>
      </c>
      <c r="Z12" s="17">
        <f t="shared" si="3"/>
        <v>1157</v>
      </c>
      <c r="AA12" s="25" t="s">
        <v>350</v>
      </c>
      <c r="AB12" s="26" t="s">
        <v>351</v>
      </c>
      <c r="AC12" s="27" t="s">
        <v>352</v>
      </c>
      <c r="AD12" s="28" t="s">
        <v>330</v>
      </c>
      <c r="AE12" s="29" t="s">
        <v>353</v>
      </c>
      <c r="AF12" s="30" t="s">
        <v>321</v>
      </c>
      <c r="AG12" s="31" t="s">
        <v>414</v>
      </c>
      <c r="AH12" s="32" t="s">
        <v>396</v>
      </c>
    </row>
    <row r="13" spans="1:34" x14ac:dyDescent="0.35">
      <c r="A13" s="2" t="s">
        <v>11</v>
      </c>
      <c r="B13" s="3" t="s">
        <v>104</v>
      </c>
      <c r="C13" s="4" t="s">
        <v>105</v>
      </c>
      <c r="D13" s="3" t="s">
        <v>106</v>
      </c>
      <c r="E13" s="12">
        <v>101</v>
      </c>
      <c r="F13" s="13">
        <v>107</v>
      </c>
      <c r="G13" s="13">
        <v>109</v>
      </c>
      <c r="H13" s="13">
        <v>108</v>
      </c>
      <c r="I13" s="13">
        <v>140</v>
      </c>
      <c r="J13" s="14">
        <v>91</v>
      </c>
      <c r="K13" s="15">
        <f t="shared" si="0"/>
        <v>656</v>
      </c>
      <c r="L13" s="16">
        <v>78</v>
      </c>
      <c r="M13" s="12">
        <v>80</v>
      </c>
      <c r="N13" s="12">
        <v>139</v>
      </c>
      <c r="O13" s="13">
        <v>105</v>
      </c>
      <c r="P13" s="19">
        <v>164</v>
      </c>
      <c r="Q13" s="14"/>
      <c r="R13" s="15">
        <f t="shared" si="1"/>
        <v>566</v>
      </c>
      <c r="S13" s="16"/>
      <c r="T13" s="12"/>
      <c r="U13" s="12"/>
      <c r="V13" s="1"/>
      <c r="W13" s="13"/>
      <c r="X13" s="14"/>
      <c r="Y13" s="15">
        <f t="shared" si="2"/>
        <v>0</v>
      </c>
      <c r="Z13" s="17">
        <f t="shared" si="3"/>
        <v>1222</v>
      </c>
      <c r="AA13" s="25" t="s">
        <v>342</v>
      </c>
      <c r="AB13" s="26" t="s">
        <v>334</v>
      </c>
      <c r="AC13" s="27" t="s">
        <v>324</v>
      </c>
      <c r="AD13" s="28" t="s">
        <v>349</v>
      </c>
      <c r="AE13" s="29" t="s">
        <v>335</v>
      </c>
      <c r="AF13" s="30" t="s">
        <v>354</v>
      </c>
      <c r="AG13" s="31" t="s">
        <v>415</v>
      </c>
      <c r="AH13" s="32" t="s">
        <v>395</v>
      </c>
    </row>
    <row r="14" spans="1:34" x14ac:dyDescent="0.35">
      <c r="A14" s="1" t="s">
        <v>12</v>
      </c>
      <c r="B14" s="3" t="s">
        <v>107</v>
      </c>
      <c r="C14" s="4" t="s">
        <v>108</v>
      </c>
      <c r="D14" s="3" t="s">
        <v>109</v>
      </c>
      <c r="E14" s="12">
        <v>84</v>
      </c>
      <c r="F14" s="13">
        <v>158</v>
      </c>
      <c r="G14" s="13">
        <v>73</v>
      </c>
      <c r="H14" s="13">
        <v>87</v>
      </c>
      <c r="I14" s="13">
        <v>113</v>
      </c>
      <c r="J14" s="14">
        <v>107</v>
      </c>
      <c r="K14" s="15">
        <f t="shared" si="0"/>
        <v>622</v>
      </c>
      <c r="L14" s="16">
        <v>88</v>
      </c>
      <c r="M14" s="12">
        <v>79</v>
      </c>
      <c r="N14" s="12">
        <v>89</v>
      </c>
      <c r="O14" s="13">
        <v>100</v>
      </c>
      <c r="P14" s="13">
        <v>58</v>
      </c>
      <c r="Q14" s="14"/>
      <c r="R14" s="15">
        <f t="shared" si="1"/>
        <v>414</v>
      </c>
      <c r="S14" s="16"/>
      <c r="T14" s="12"/>
      <c r="U14" s="12"/>
      <c r="V14" s="1"/>
      <c r="W14" s="13"/>
      <c r="X14" s="14"/>
      <c r="Y14" s="15">
        <f t="shared" si="2"/>
        <v>0</v>
      </c>
      <c r="Z14" s="17">
        <f t="shared" si="3"/>
        <v>1036</v>
      </c>
      <c r="AA14" s="25" t="s">
        <v>328</v>
      </c>
      <c r="AB14" s="26" t="s">
        <v>317</v>
      </c>
      <c r="AC14" s="27" t="s">
        <v>355</v>
      </c>
      <c r="AD14" s="28" t="s">
        <v>330</v>
      </c>
      <c r="AE14" s="29" t="s">
        <v>340</v>
      </c>
      <c r="AF14" s="30" t="s">
        <v>337</v>
      </c>
      <c r="AG14" s="31" t="s">
        <v>415</v>
      </c>
      <c r="AH14" s="32" t="s">
        <v>399</v>
      </c>
    </row>
    <row r="15" spans="1:34" x14ac:dyDescent="0.35">
      <c r="A15" s="2" t="s">
        <v>13</v>
      </c>
      <c r="B15" s="3" t="s">
        <v>110</v>
      </c>
      <c r="C15" s="4" t="s">
        <v>111</v>
      </c>
      <c r="D15" s="3" t="s">
        <v>112</v>
      </c>
      <c r="E15" s="12">
        <v>91</v>
      </c>
      <c r="F15" s="13">
        <v>120</v>
      </c>
      <c r="G15" s="13">
        <v>75</v>
      </c>
      <c r="H15" s="13">
        <v>73</v>
      </c>
      <c r="I15" s="13">
        <v>64</v>
      </c>
      <c r="J15" s="14">
        <v>74</v>
      </c>
      <c r="K15" s="15">
        <f t="shared" si="0"/>
        <v>497</v>
      </c>
      <c r="L15" s="16">
        <v>113</v>
      </c>
      <c r="M15" s="12">
        <v>69</v>
      </c>
      <c r="N15" s="12">
        <v>85</v>
      </c>
      <c r="O15" s="13">
        <v>118</v>
      </c>
      <c r="P15" s="13">
        <v>97</v>
      </c>
      <c r="Q15" s="14"/>
      <c r="R15" s="15">
        <f t="shared" si="1"/>
        <v>482</v>
      </c>
      <c r="S15" s="16"/>
      <c r="T15" s="12"/>
      <c r="U15" s="12"/>
      <c r="V15" s="1"/>
      <c r="W15" s="13"/>
      <c r="X15" s="14"/>
      <c r="Y15" s="15">
        <f t="shared" si="2"/>
        <v>0</v>
      </c>
      <c r="Z15" s="17">
        <f t="shared" si="3"/>
        <v>979</v>
      </c>
      <c r="AA15" s="25" t="s">
        <v>348</v>
      </c>
      <c r="AB15" s="26" t="s">
        <v>351</v>
      </c>
      <c r="AC15" s="27" t="s">
        <v>334</v>
      </c>
      <c r="AD15" s="28" t="s">
        <v>326</v>
      </c>
      <c r="AE15" s="29" t="s">
        <v>345</v>
      </c>
      <c r="AF15" s="30" t="s">
        <v>356</v>
      </c>
      <c r="AG15" s="31" t="s">
        <v>417</v>
      </c>
      <c r="AH15" s="32" t="s">
        <v>395</v>
      </c>
    </row>
    <row r="16" spans="1:34" x14ac:dyDescent="0.35">
      <c r="A16" s="2" t="s">
        <v>14</v>
      </c>
      <c r="B16" s="3" t="s">
        <v>113</v>
      </c>
      <c r="C16" s="4" t="s">
        <v>114</v>
      </c>
      <c r="D16" s="3" t="s">
        <v>115</v>
      </c>
      <c r="E16" s="12">
        <v>101</v>
      </c>
      <c r="F16" s="13">
        <v>162</v>
      </c>
      <c r="G16" s="13">
        <v>125</v>
      </c>
      <c r="H16" s="13">
        <v>87</v>
      </c>
      <c r="I16" s="13">
        <v>106</v>
      </c>
      <c r="J16" s="14">
        <v>107</v>
      </c>
      <c r="K16" s="15">
        <f t="shared" si="0"/>
        <v>688</v>
      </c>
      <c r="L16" s="16">
        <v>56</v>
      </c>
      <c r="M16" s="12">
        <v>141</v>
      </c>
      <c r="N16" s="12">
        <v>66</v>
      </c>
      <c r="O16" s="13">
        <v>118</v>
      </c>
      <c r="P16" s="13">
        <v>121</v>
      </c>
      <c r="Q16" s="14"/>
      <c r="R16" s="15">
        <f t="shared" si="1"/>
        <v>502</v>
      </c>
      <c r="S16" s="16"/>
      <c r="T16" s="12"/>
      <c r="U16" s="12"/>
      <c r="V16" s="1"/>
      <c r="W16" s="13"/>
      <c r="X16" s="14"/>
      <c r="Y16" s="15">
        <f t="shared" si="2"/>
        <v>0</v>
      </c>
      <c r="Z16" s="17">
        <f t="shared" si="3"/>
        <v>1190</v>
      </c>
      <c r="AA16" s="25" t="s">
        <v>342</v>
      </c>
      <c r="AB16" s="26" t="s">
        <v>357</v>
      </c>
      <c r="AC16" s="27" t="s">
        <v>329</v>
      </c>
      <c r="AD16" s="28" t="s">
        <v>344</v>
      </c>
      <c r="AE16" s="29" t="s">
        <v>345</v>
      </c>
      <c r="AF16" s="30" t="s">
        <v>358</v>
      </c>
      <c r="AG16" s="31" t="s">
        <v>414</v>
      </c>
      <c r="AH16" s="32" t="s">
        <v>401</v>
      </c>
    </row>
    <row r="17" spans="1:34" x14ac:dyDescent="0.35">
      <c r="A17" s="2" t="s">
        <v>15</v>
      </c>
      <c r="B17" s="3" t="s">
        <v>116</v>
      </c>
      <c r="C17" s="4" t="s">
        <v>117</v>
      </c>
      <c r="D17" s="3" t="s">
        <v>118</v>
      </c>
      <c r="E17" s="18">
        <v>132</v>
      </c>
      <c r="F17" s="13">
        <v>118</v>
      </c>
      <c r="G17" s="13">
        <v>114</v>
      </c>
      <c r="H17" s="13">
        <v>142</v>
      </c>
      <c r="I17" s="13">
        <v>117</v>
      </c>
      <c r="J17" s="14">
        <v>115</v>
      </c>
      <c r="K17" s="15">
        <f t="shared" si="0"/>
        <v>738</v>
      </c>
      <c r="L17" s="16">
        <v>128</v>
      </c>
      <c r="M17" s="12">
        <v>123</v>
      </c>
      <c r="N17" s="12">
        <v>86</v>
      </c>
      <c r="O17" s="13">
        <v>55</v>
      </c>
      <c r="P17" s="13">
        <v>119</v>
      </c>
      <c r="Q17" s="14"/>
      <c r="R17" s="15">
        <f t="shared" si="1"/>
        <v>511</v>
      </c>
      <c r="S17" s="16"/>
      <c r="T17" s="12"/>
      <c r="U17" s="12"/>
      <c r="V17" s="1"/>
      <c r="W17" s="13"/>
      <c r="X17" s="14"/>
      <c r="Y17" s="15">
        <f t="shared" si="2"/>
        <v>0</v>
      </c>
      <c r="Z17" s="17">
        <f t="shared" si="3"/>
        <v>1249</v>
      </c>
      <c r="AA17" s="25" t="s">
        <v>359</v>
      </c>
      <c r="AB17" s="26" t="s">
        <v>334</v>
      </c>
      <c r="AC17" s="27" t="s">
        <v>329</v>
      </c>
      <c r="AD17" s="28" t="s">
        <v>360</v>
      </c>
      <c r="AE17" s="29" t="s">
        <v>340</v>
      </c>
      <c r="AF17" s="30" t="s">
        <v>358</v>
      </c>
      <c r="AG17" s="31" t="s">
        <v>416</v>
      </c>
      <c r="AH17" s="32" t="s">
        <v>395</v>
      </c>
    </row>
    <row r="18" spans="1:34" x14ac:dyDescent="0.35">
      <c r="A18" s="2" t="s">
        <v>16</v>
      </c>
      <c r="B18" s="3" t="s">
        <v>119</v>
      </c>
      <c r="C18" s="4" t="s">
        <v>120</v>
      </c>
      <c r="D18" s="3" t="s">
        <v>121</v>
      </c>
      <c r="E18" s="12">
        <v>108</v>
      </c>
      <c r="F18" s="13">
        <v>117</v>
      </c>
      <c r="G18" s="13">
        <v>106</v>
      </c>
      <c r="H18" s="13">
        <v>105</v>
      </c>
      <c r="I18" s="13">
        <v>66</v>
      </c>
      <c r="J18" s="14">
        <v>57</v>
      </c>
      <c r="K18" s="15">
        <f t="shared" si="0"/>
        <v>559</v>
      </c>
      <c r="L18" s="16">
        <v>91</v>
      </c>
      <c r="M18" s="12">
        <v>104</v>
      </c>
      <c r="N18" s="12">
        <v>72</v>
      </c>
      <c r="O18" s="13">
        <v>105</v>
      </c>
      <c r="P18" s="13">
        <v>97</v>
      </c>
      <c r="Q18" s="14"/>
      <c r="R18" s="15">
        <f t="shared" si="1"/>
        <v>469</v>
      </c>
      <c r="S18" s="16"/>
      <c r="T18" s="12"/>
      <c r="U18" s="12"/>
      <c r="V18" s="1"/>
      <c r="W18" s="13"/>
      <c r="X18" s="14"/>
      <c r="Y18" s="15">
        <f t="shared" si="2"/>
        <v>0</v>
      </c>
      <c r="Z18" s="17">
        <f t="shared" si="3"/>
        <v>1028</v>
      </c>
      <c r="AA18" s="25" t="s">
        <v>350</v>
      </c>
      <c r="AB18" s="26" t="s">
        <v>361</v>
      </c>
      <c r="AC18" s="27" t="s">
        <v>346</v>
      </c>
      <c r="AD18" s="28" t="s">
        <v>362</v>
      </c>
      <c r="AE18" s="29" t="s">
        <v>335</v>
      </c>
      <c r="AF18" s="30" t="s">
        <v>336</v>
      </c>
      <c r="AG18" s="31" t="s">
        <v>418</v>
      </c>
      <c r="AH18" s="32" t="s">
        <v>400</v>
      </c>
    </row>
    <row r="19" spans="1:34" x14ac:dyDescent="0.35">
      <c r="A19" s="1" t="s">
        <v>17</v>
      </c>
      <c r="B19" s="3" t="s">
        <v>122</v>
      </c>
      <c r="C19" s="4" t="s">
        <v>123</v>
      </c>
      <c r="D19" s="3" t="s">
        <v>124</v>
      </c>
      <c r="E19" s="12">
        <v>88</v>
      </c>
      <c r="F19" s="13">
        <v>160</v>
      </c>
      <c r="G19" s="13">
        <v>138</v>
      </c>
      <c r="H19" s="13">
        <v>104</v>
      </c>
      <c r="I19" s="13">
        <v>129</v>
      </c>
      <c r="J19" s="20">
        <v>164</v>
      </c>
      <c r="K19" s="15">
        <f t="shared" si="0"/>
        <v>783</v>
      </c>
      <c r="L19" s="21">
        <v>186</v>
      </c>
      <c r="M19" s="12">
        <v>128</v>
      </c>
      <c r="N19" s="12">
        <v>118</v>
      </c>
      <c r="O19" s="13">
        <v>150</v>
      </c>
      <c r="P19" s="13">
        <v>110</v>
      </c>
      <c r="Q19" s="14"/>
      <c r="R19" s="22">
        <f t="shared" si="1"/>
        <v>692</v>
      </c>
      <c r="S19" s="16"/>
      <c r="T19" s="12"/>
      <c r="U19" s="12"/>
      <c r="V19" s="1"/>
      <c r="W19" s="13"/>
      <c r="X19" s="14"/>
      <c r="Y19" s="15">
        <f t="shared" si="2"/>
        <v>0</v>
      </c>
      <c r="Z19" s="23">
        <f t="shared" si="3"/>
        <v>1475</v>
      </c>
      <c r="AA19" s="25" t="s">
        <v>350</v>
      </c>
      <c r="AB19" s="26" t="s">
        <v>363</v>
      </c>
      <c r="AC19" s="27" t="s">
        <v>355</v>
      </c>
      <c r="AD19" s="28" t="s">
        <v>330</v>
      </c>
      <c r="AE19" s="29" t="s">
        <v>364</v>
      </c>
      <c r="AF19" s="30" t="s">
        <v>365</v>
      </c>
      <c r="AG19" s="31" t="s">
        <v>413</v>
      </c>
      <c r="AH19" s="32" t="s">
        <v>395</v>
      </c>
    </row>
    <row r="20" spans="1:34" x14ac:dyDescent="0.35">
      <c r="A20" s="1" t="s">
        <v>18</v>
      </c>
      <c r="B20" s="3" t="s">
        <v>125</v>
      </c>
      <c r="C20" s="4" t="s">
        <v>126</v>
      </c>
      <c r="D20" s="3" t="s">
        <v>127</v>
      </c>
      <c r="E20" s="12">
        <v>98</v>
      </c>
      <c r="F20" s="13">
        <v>102</v>
      </c>
      <c r="G20" s="13">
        <v>84</v>
      </c>
      <c r="H20" s="13">
        <v>101</v>
      </c>
      <c r="I20" s="13">
        <v>41</v>
      </c>
      <c r="J20" s="14">
        <v>47</v>
      </c>
      <c r="K20" s="15">
        <f t="shared" si="0"/>
        <v>473</v>
      </c>
      <c r="L20" s="16">
        <v>31</v>
      </c>
      <c r="M20" s="12">
        <v>108</v>
      </c>
      <c r="N20" s="12">
        <v>104</v>
      </c>
      <c r="O20" s="13">
        <v>57</v>
      </c>
      <c r="P20" s="13">
        <v>82</v>
      </c>
      <c r="Q20" s="14"/>
      <c r="R20" s="15">
        <f t="shared" si="1"/>
        <v>382</v>
      </c>
      <c r="S20" s="16"/>
      <c r="T20" s="12"/>
      <c r="U20" s="12"/>
      <c r="V20" s="1"/>
      <c r="W20" s="13"/>
      <c r="X20" s="14"/>
      <c r="Y20" s="15">
        <f t="shared" si="2"/>
        <v>0</v>
      </c>
      <c r="Z20" s="17">
        <f t="shared" si="3"/>
        <v>855</v>
      </c>
      <c r="AA20" s="25" t="s">
        <v>328</v>
      </c>
      <c r="AB20" s="26" t="s">
        <v>317</v>
      </c>
      <c r="AC20" s="27" t="s">
        <v>329</v>
      </c>
      <c r="AD20" s="28" t="s">
        <v>325</v>
      </c>
      <c r="AE20" s="29" t="s">
        <v>366</v>
      </c>
      <c r="AF20" s="30" t="s">
        <v>341</v>
      </c>
      <c r="AG20" s="31" t="s">
        <v>413</v>
      </c>
      <c r="AH20" s="32" t="s">
        <v>404</v>
      </c>
    </row>
    <row r="21" spans="1:34" x14ac:dyDescent="0.35">
      <c r="A21" s="1" t="s">
        <v>19</v>
      </c>
      <c r="B21" s="3" t="s">
        <v>128</v>
      </c>
      <c r="C21" s="4" t="s">
        <v>129</v>
      </c>
      <c r="D21" s="3" t="s">
        <v>130</v>
      </c>
      <c r="E21" s="12">
        <v>66</v>
      </c>
      <c r="F21" s="13">
        <v>139</v>
      </c>
      <c r="G21" s="13">
        <v>95</v>
      </c>
      <c r="H21" s="13">
        <v>95</v>
      </c>
      <c r="I21" s="13">
        <v>90</v>
      </c>
      <c r="J21" s="14">
        <v>79</v>
      </c>
      <c r="K21" s="15">
        <f t="shared" si="0"/>
        <v>564</v>
      </c>
      <c r="L21" s="16">
        <v>92</v>
      </c>
      <c r="M21" s="12">
        <v>82</v>
      </c>
      <c r="N21" s="12">
        <v>62</v>
      </c>
      <c r="O21" s="13">
        <v>76</v>
      </c>
      <c r="P21" s="13">
        <v>49</v>
      </c>
      <c r="Q21" s="14"/>
      <c r="R21" s="15">
        <f t="shared" si="1"/>
        <v>361</v>
      </c>
      <c r="S21" s="16"/>
      <c r="T21" s="12"/>
      <c r="U21" s="12"/>
      <c r="V21" s="1"/>
      <c r="W21" s="13"/>
      <c r="X21" s="14"/>
      <c r="Y21" s="15">
        <f t="shared" si="2"/>
        <v>0</v>
      </c>
      <c r="Z21" s="17">
        <f t="shared" si="3"/>
        <v>925</v>
      </c>
      <c r="AA21" s="25" t="s">
        <v>328</v>
      </c>
      <c r="AB21" s="26" t="s">
        <v>317</v>
      </c>
      <c r="AC21" s="27" t="s">
        <v>339</v>
      </c>
      <c r="AD21" s="28" t="s">
        <v>330</v>
      </c>
      <c r="AE21" s="29" t="s">
        <v>340</v>
      </c>
      <c r="AF21" s="30" t="s">
        <v>332</v>
      </c>
      <c r="AG21" s="31" t="s">
        <v>420</v>
      </c>
      <c r="AH21" s="32" t="s">
        <v>399</v>
      </c>
    </row>
    <row r="22" spans="1:34" x14ac:dyDescent="0.35">
      <c r="A22" s="2" t="s">
        <v>20</v>
      </c>
      <c r="B22" s="3" t="s">
        <v>131</v>
      </c>
      <c r="C22" s="4" t="s">
        <v>132</v>
      </c>
      <c r="D22" s="3" t="s">
        <v>133</v>
      </c>
      <c r="E22" s="12">
        <v>73</v>
      </c>
      <c r="F22" s="13">
        <v>123</v>
      </c>
      <c r="G22" s="13">
        <v>67</v>
      </c>
      <c r="H22" s="13">
        <v>56</v>
      </c>
      <c r="I22" s="13">
        <v>88</v>
      </c>
      <c r="J22" s="14">
        <v>67</v>
      </c>
      <c r="K22" s="15">
        <f t="shared" si="0"/>
        <v>474</v>
      </c>
      <c r="L22" s="16">
        <v>135</v>
      </c>
      <c r="M22" s="12">
        <v>113</v>
      </c>
      <c r="N22" s="12">
        <v>98</v>
      </c>
      <c r="O22" s="13">
        <v>84</v>
      </c>
      <c r="P22" s="13">
        <v>94</v>
      </c>
      <c r="Q22" s="14"/>
      <c r="R22" s="15">
        <f t="shared" si="1"/>
        <v>524</v>
      </c>
      <c r="S22" s="16"/>
      <c r="T22" s="12"/>
      <c r="U22" s="12"/>
      <c r="V22" s="1"/>
      <c r="W22" s="13"/>
      <c r="X22" s="14"/>
      <c r="Y22" s="15">
        <f t="shared" si="2"/>
        <v>0</v>
      </c>
      <c r="Z22" s="17">
        <f t="shared" si="3"/>
        <v>998</v>
      </c>
      <c r="AA22" s="25" t="s">
        <v>367</v>
      </c>
      <c r="AB22" s="26" t="s">
        <v>334</v>
      </c>
      <c r="AC22" s="27" t="s">
        <v>324</v>
      </c>
      <c r="AD22" s="28" t="s">
        <v>325</v>
      </c>
      <c r="AE22" s="29" t="s">
        <v>326</v>
      </c>
      <c r="AF22" s="30" t="s">
        <v>354</v>
      </c>
      <c r="AG22" s="31" t="s">
        <v>368</v>
      </c>
      <c r="AH22" s="32" t="s">
        <v>395</v>
      </c>
    </row>
    <row r="23" spans="1:34" x14ac:dyDescent="0.35">
      <c r="A23" s="1" t="s">
        <v>21</v>
      </c>
      <c r="B23" s="3" t="s">
        <v>134</v>
      </c>
      <c r="C23" s="4" t="s">
        <v>135</v>
      </c>
      <c r="D23" s="3" t="s">
        <v>136</v>
      </c>
      <c r="E23" s="12">
        <v>86</v>
      </c>
      <c r="F23" s="13">
        <v>150</v>
      </c>
      <c r="G23" s="13">
        <v>90</v>
      </c>
      <c r="H23" s="13">
        <v>87</v>
      </c>
      <c r="I23" s="13">
        <v>113</v>
      </c>
      <c r="J23" s="14">
        <v>110</v>
      </c>
      <c r="K23" s="15">
        <f t="shared" si="0"/>
        <v>636</v>
      </c>
      <c r="L23" s="16">
        <v>87</v>
      </c>
      <c r="M23" s="12">
        <v>77</v>
      </c>
      <c r="N23" s="12">
        <v>133</v>
      </c>
      <c r="O23" s="13">
        <v>99</v>
      </c>
      <c r="P23" s="13">
        <v>69</v>
      </c>
      <c r="Q23" s="14"/>
      <c r="R23" s="15">
        <f t="shared" si="1"/>
        <v>465</v>
      </c>
      <c r="S23" s="16"/>
      <c r="T23" s="12"/>
      <c r="U23" s="12"/>
      <c r="V23" s="1"/>
      <c r="W23" s="13"/>
      <c r="X23" s="14"/>
      <c r="Y23" s="15">
        <f t="shared" si="2"/>
        <v>0</v>
      </c>
      <c r="Z23" s="17">
        <f t="shared" si="3"/>
        <v>1101</v>
      </c>
      <c r="AA23" s="25" t="s">
        <v>328</v>
      </c>
      <c r="AB23" s="26" t="s">
        <v>369</v>
      </c>
      <c r="AC23" s="27" t="s">
        <v>355</v>
      </c>
      <c r="AD23" s="28" t="s">
        <v>330</v>
      </c>
      <c r="AE23" s="29" t="s">
        <v>340</v>
      </c>
      <c r="AF23" s="30" t="s">
        <v>341</v>
      </c>
      <c r="AG23" s="31" t="s">
        <v>370</v>
      </c>
      <c r="AH23" s="32" t="s">
        <v>400</v>
      </c>
    </row>
    <row r="24" spans="1:34" x14ac:dyDescent="0.35">
      <c r="A24" s="2" t="s">
        <v>22</v>
      </c>
      <c r="B24" s="3" t="s">
        <v>137</v>
      </c>
      <c r="C24" s="4" t="s">
        <v>138</v>
      </c>
      <c r="D24" s="3" t="s">
        <v>139</v>
      </c>
      <c r="E24" s="12">
        <v>67</v>
      </c>
      <c r="F24" s="13">
        <v>134</v>
      </c>
      <c r="G24" s="13">
        <v>122</v>
      </c>
      <c r="H24" s="13">
        <v>80</v>
      </c>
      <c r="I24" s="13">
        <v>106</v>
      </c>
      <c r="J24" s="14">
        <v>95</v>
      </c>
      <c r="K24" s="15">
        <f t="shared" si="0"/>
        <v>604</v>
      </c>
      <c r="L24" s="16">
        <v>118</v>
      </c>
      <c r="M24" s="12">
        <v>75</v>
      </c>
      <c r="N24" s="12">
        <v>181</v>
      </c>
      <c r="O24" s="13">
        <v>116</v>
      </c>
      <c r="P24" s="13">
        <v>132</v>
      </c>
      <c r="Q24" s="14"/>
      <c r="R24" s="15">
        <f t="shared" si="1"/>
        <v>622</v>
      </c>
      <c r="S24" s="16"/>
      <c r="T24" s="12"/>
      <c r="U24" s="12"/>
      <c r="V24" s="1"/>
      <c r="W24" s="13"/>
      <c r="X24" s="14"/>
      <c r="Y24" s="15">
        <f t="shared" si="2"/>
        <v>0</v>
      </c>
      <c r="Z24" s="17">
        <f t="shared" si="3"/>
        <v>1226</v>
      </c>
      <c r="AA24" s="25" t="s">
        <v>333</v>
      </c>
      <c r="AB24" s="26" t="s">
        <v>323</v>
      </c>
      <c r="AC24" s="27" t="s">
        <v>371</v>
      </c>
      <c r="AD24" s="28" t="s">
        <v>325</v>
      </c>
      <c r="AE24" s="29" t="s">
        <v>335</v>
      </c>
      <c r="AF24" s="30" t="s">
        <v>347</v>
      </c>
      <c r="AG24" s="31" t="s">
        <v>422</v>
      </c>
      <c r="AH24" s="32" t="s">
        <v>396</v>
      </c>
    </row>
    <row r="25" spans="1:34" x14ac:dyDescent="0.35">
      <c r="A25" s="1" t="s">
        <v>23</v>
      </c>
      <c r="B25" s="3" t="s">
        <v>140</v>
      </c>
      <c r="C25" s="4" t="s">
        <v>141</v>
      </c>
      <c r="D25" s="3" t="s">
        <v>142</v>
      </c>
      <c r="E25" s="12">
        <v>84</v>
      </c>
      <c r="F25" s="13">
        <v>141</v>
      </c>
      <c r="G25" s="13">
        <v>110</v>
      </c>
      <c r="H25" s="13">
        <v>122</v>
      </c>
      <c r="I25" s="13">
        <v>120</v>
      </c>
      <c r="J25" s="14">
        <v>95</v>
      </c>
      <c r="K25" s="15">
        <f t="shared" si="0"/>
        <v>672</v>
      </c>
      <c r="L25" s="16">
        <v>106</v>
      </c>
      <c r="M25" s="12">
        <v>111</v>
      </c>
      <c r="N25" s="12">
        <v>44</v>
      </c>
      <c r="O25" s="13">
        <v>61</v>
      </c>
      <c r="P25" s="13">
        <v>63</v>
      </c>
      <c r="Q25" s="14"/>
      <c r="R25" s="15">
        <f t="shared" si="1"/>
        <v>385</v>
      </c>
      <c r="S25" s="16"/>
      <c r="T25" s="12"/>
      <c r="U25" s="12"/>
      <c r="V25" s="1"/>
      <c r="W25" s="13"/>
      <c r="X25" s="14"/>
      <c r="Y25" s="15">
        <f t="shared" si="2"/>
        <v>0</v>
      </c>
      <c r="Z25" s="17">
        <f t="shared" si="3"/>
        <v>1057</v>
      </c>
      <c r="AA25" s="25" t="s">
        <v>350</v>
      </c>
      <c r="AB25" s="26" t="s">
        <v>317</v>
      </c>
      <c r="AC25" s="27" t="s">
        <v>352</v>
      </c>
      <c r="AD25" s="28" t="s">
        <v>330</v>
      </c>
      <c r="AE25" s="29" t="s">
        <v>340</v>
      </c>
      <c r="AF25" s="30" t="s">
        <v>372</v>
      </c>
      <c r="AG25" s="31" t="s">
        <v>415</v>
      </c>
      <c r="AH25" s="32" t="s">
        <v>401</v>
      </c>
    </row>
    <row r="26" spans="1:34" x14ac:dyDescent="0.35">
      <c r="A26" s="2" t="s">
        <v>24</v>
      </c>
      <c r="B26" s="3" t="s">
        <v>143</v>
      </c>
      <c r="C26" s="4" t="s">
        <v>144</v>
      </c>
      <c r="D26" s="3" t="s">
        <v>145</v>
      </c>
      <c r="E26" s="12">
        <v>102</v>
      </c>
      <c r="F26" s="13">
        <v>114</v>
      </c>
      <c r="G26" s="13">
        <v>81</v>
      </c>
      <c r="H26" s="13">
        <v>88</v>
      </c>
      <c r="I26" s="13">
        <v>55</v>
      </c>
      <c r="J26" s="14">
        <v>88</v>
      </c>
      <c r="K26" s="15">
        <f t="shared" si="0"/>
        <v>528</v>
      </c>
      <c r="L26" s="16">
        <v>112</v>
      </c>
      <c r="M26" s="12">
        <v>104</v>
      </c>
      <c r="N26" s="12">
        <v>100</v>
      </c>
      <c r="O26" s="13">
        <v>74</v>
      </c>
      <c r="P26" s="13">
        <v>129</v>
      </c>
      <c r="Q26" s="14"/>
      <c r="R26" s="15">
        <f t="shared" si="1"/>
        <v>519</v>
      </c>
      <c r="S26" s="16"/>
      <c r="T26" s="12"/>
      <c r="U26" s="12"/>
      <c r="V26" s="1"/>
      <c r="W26" s="13"/>
      <c r="X26" s="14"/>
      <c r="Y26" s="15">
        <f t="shared" si="2"/>
        <v>0</v>
      </c>
      <c r="Z26" s="17">
        <f t="shared" si="3"/>
        <v>1047</v>
      </c>
      <c r="AA26" s="25" t="s">
        <v>373</v>
      </c>
      <c r="AB26" s="26" t="s">
        <v>334</v>
      </c>
      <c r="AC26" s="27" t="s">
        <v>323</v>
      </c>
      <c r="AD26" s="28" t="s">
        <v>326</v>
      </c>
      <c r="AE26" s="29" t="s">
        <v>345</v>
      </c>
      <c r="AF26" s="30" t="s">
        <v>347</v>
      </c>
      <c r="AG26" s="31" t="s">
        <v>419</v>
      </c>
      <c r="AH26" s="32" t="s">
        <v>396</v>
      </c>
    </row>
    <row r="27" spans="1:34" x14ac:dyDescent="0.35">
      <c r="A27" s="1" t="s">
        <v>25</v>
      </c>
      <c r="B27" s="3" t="s">
        <v>146</v>
      </c>
      <c r="C27" s="4" t="s">
        <v>147</v>
      </c>
      <c r="D27" s="3" t="s">
        <v>148</v>
      </c>
      <c r="E27" s="12">
        <v>107</v>
      </c>
      <c r="F27" s="13">
        <v>151</v>
      </c>
      <c r="G27" s="13">
        <v>98</v>
      </c>
      <c r="H27" s="19">
        <v>153</v>
      </c>
      <c r="I27" s="13">
        <v>80</v>
      </c>
      <c r="J27" s="14">
        <v>129</v>
      </c>
      <c r="K27" s="15">
        <f t="shared" si="0"/>
        <v>718</v>
      </c>
      <c r="L27" s="16">
        <v>134</v>
      </c>
      <c r="M27" s="12">
        <v>119</v>
      </c>
      <c r="N27" s="12">
        <v>86</v>
      </c>
      <c r="O27" s="13">
        <v>74</v>
      </c>
      <c r="P27" s="13">
        <v>112</v>
      </c>
      <c r="Q27" s="14"/>
      <c r="R27" s="15">
        <f t="shared" si="1"/>
        <v>525</v>
      </c>
      <c r="S27" s="16"/>
      <c r="T27" s="12"/>
      <c r="U27" s="12"/>
      <c r="V27" s="1"/>
      <c r="W27" s="13"/>
      <c r="X27" s="14"/>
      <c r="Y27" s="15">
        <f t="shared" si="2"/>
        <v>0</v>
      </c>
      <c r="Z27" s="17">
        <f t="shared" si="3"/>
        <v>1243</v>
      </c>
      <c r="AA27" s="25" t="s">
        <v>359</v>
      </c>
      <c r="AB27" s="26" t="s">
        <v>317</v>
      </c>
      <c r="AC27" s="27" t="s">
        <v>334</v>
      </c>
      <c r="AD27" s="28" t="s">
        <v>331</v>
      </c>
      <c r="AE27" s="29" t="s">
        <v>340</v>
      </c>
      <c r="AF27" s="30" t="s">
        <v>321</v>
      </c>
      <c r="AG27" s="31" t="s">
        <v>420</v>
      </c>
      <c r="AH27" s="32" t="s">
        <v>402</v>
      </c>
    </row>
    <row r="28" spans="1:34" x14ac:dyDescent="0.35">
      <c r="A28" s="1" t="s">
        <v>26</v>
      </c>
      <c r="B28" s="3" t="s">
        <v>149</v>
      </c>
      <c r="C28" s="4" t="s">
        <v>150</v>
      </c>
      <c r="D28" s="3" t="s">
        <v>151</v>
      </c>
      <c r="E28" s="12">
        <v>109</v>
      </c>
      <c r="F28" s="13">
        <v>105</v>
      </c>
      <c r="G28" s="13">
        <v>124</v>
      </c>
      <c r="H28" s="13">
        <v>130</v>
      </c>
      <c r="I28" s="13">
        <v>115</v>
      </c>
      <c r="J28" s="14">
        <v>84</v>
      </c>
      <c r="K28" s="15">
        <f t="shared" si="0"/>
        <v>667</v>
      </c>
      <c r="L28" s="16">
        <v>96</v>
      </c>
      <c r="M28" s="12">
        <v>32</v>
      </c>
      <c r="N28" s="12">
        <v>154</v>
      </c>
      <c r="O28" s="13">
        <v>134</v>
      </c>
      <c r="P28" s="13">
        <v>92</v>
      </c>
      <c r="Q28" s="14"/>
      <c r="R28" s="15">
        <f t="shared" si="1"/>
        <v>508</v>
      </c>
      <c r="S28" s="16"/>
      <c r="T28" s="12"/>
      <c r="U28" s="12"/>
      <c r="V28" s="1"/>
      <c r="W28" s="13"/>
      <c r="X28" s="14"/>
      <c r="Y28" s="15">
        <f t="shared" si="2"/>
        <v>0</v>
      </c>
      <c r="Z28" s="17">
        <f t="shared" si="3"/>
        <v>1175</v>
      </c>
      <c r="AA28" s="25" t="s">
        <v>342</v>
      </c>
      <c r="AB28" s="26" t="s">
        <v>351</v>
      </c>
      <c r="AC28" s="27" t="s">
        <v>374</v>
      </c>
      <c r="AD28" s="28" t="s">
        <v>375</v>
      </c>
      <c r="AE28" s="29" t="s">
        <v>340</v>
      </c>
      <c r="AF28" s="30" t="s">
        <v>337</v>
      </c>
      <c r="AG28" s="31" t="s">
        <v>424</v>
      </c>
      <c r="AH28" s="32" t="s">
        <v>399</v>
      </c>
    </row>
    <row r="29" spans="1:34" x14ac:dyDescent="0.35">
      <c r="A29" s="2" t="s">
        <v>27</v>
      </c>
      <c r="B29" s="3" t="s">
        <v>152</v>
      </c>
      <c r="C29" s="4" t="s">
        <v>153</v>
      </c>
      <c r="D29" s="3" t="s">
        <v>154</v>
      </c>
      <c r="E29" s="12">
        <v>121</v>
      </c>
      <c r="F29" s="13">
        <v>106</v>
      </c>
      <c r="G29" s="13">
        <v>116</v>
      </c>
      <c r="H29" s="13">
        <v>110</v>
      </c>
      <c r="I29" s="13">
        <v>101</v>
      </c>
      <c r="J29" s="14">
        <v>159</v>
      </c>
      <c r="K29" s="15">
        <f t="shared" si="0"/>
        <v>713</v>
      </c>
      <c r="L29" s="16">
        <v>97</v>
      </c>
      <c r="M29" s="12">
        <v>102</v>
      </c>
      <c r="N29" s="12">
        <v>134</v>
      </c>
      <c r="O29" s="13">
        <v>131</v>
      </c>
      <c r="P29" s="13">
        <v>111</v>
      </c>
      <c r="Q29" s="14"/>
      <c r="R29" s="15">
        <f t="shared" si="1"/>
        <v>575</v>
      </c>
      <c r="S29" s="16"/>
      <c r="T29" s="12"/>
      <c r="U29" s="12"/>
      <c r="V29" s="1"/>
      <c r="W29" s="13"/>
      <c r="X29" s="14"/>
      <c r="Y29" s="15">
        <f t="shared" si="2"/>
        <v>0</v>
      </c>
      <c r="Z29" s="17">
        <f t="shared" si="3"/>
        <v>1288</v>
      </c>
      <c r="AA29" s="25" t="s">
        <v>376</v>
      </c>
      <c r="AB29" s="26" t="s">
        <v>334</v>
      </c>
      <c r="AC29" s="27" t="s">
        <v>324</v>
      </c>
      <c r="AD29" s="28" t="s">
        <v>319</v>
      </c>
      <c r="AE29" s="29" t="s">
        <v>326</v>
      </c>
      <c r="AF29" s="30" t="s">
        <v>336</v>
      </c>
      <c r="AG29" s="31" t="s">
        <v>422</v>
      </c>
      <c r="AH29" s="32" t="s">
        <v>400</v>
      </c>
    </row>
    <row r="30" spans="1:34" x14ac:dyDescent="0.35">
      <c r="A30" s="2" t="s">
        <v>28</v>
      </c>
      <c r="B30" s="3" t="s">
        <v>155</v>
      </c>
      <c r="C30" s="4" t="s">
        <v>156</v>
      </c>
      <c r="D30" s="3" t="s">
        <v>157</v>
      </c>
      <c r="E30" s="12">
        <v>96</v>
      </c>
      <c r="F30" s="19">
        <v>169</v>
      </c>
      <c r="G30" s="13">
        <v>114</v>
      </c>
      <c r="H30" s="13">
        <v>92</v>
      </c>
      <c r="I30" s="13">
        <v>121</v>
      </c>
      <c r="J30" s="14">
        <v>130</v>
      </c>
      <c r="K30" s="15">
        <f t="shared" si="0"/>
        <v>722</v>
      </c>
      <c r="L30" s="16">
        <v>152</v>
      </c>
      <c r="M30" s="12">
        <v>142</v>
      </c>
      <c r="N30" s="12">
        <v>102</v>
      </c>
      <c r="O30" s="13">
        <v>78</v>
      </c>
      <c r="P30" s="13">
        <v>80</v>
      </c>
      <c r="Q30" s="14"/>
      <c r="R30" s="15">
        <f t="shared" si="1"/>
        <v>554</v>
      </c>
      <c r="S30" s="16"/>
      <c r="T30" s="12"/>
      <c r="U30" s="12"/>
      <c r="V30" s="1"/>
      <c r="W30" s="13"/>
      <c r="X30" s="14"/>
      <c r="Y30" s="15">
        <f t="shared" si="2"/>
        <v>0</v>
      </c>
      <c r="Z30" s="17">
        <f t="shared" si="3"/>
        <v>1276</v>
      </c>
      <c r="AA30" s="25" t="s">
        <v>359</v>
      </c>
      <c r="AB30" s="26" t="s">
        <v>323</v>
      </c>
      <c r="AC30" s="27" t="s">
        <v>324</v>
      </c>
      <c r="AD30" s="28" t="s">
        <v>325</v>
      </c>
      <c r="AE30" s="29" t="s">
        <v>345</v>
      </c>
      <c r="AF30" s="30" t="s">
        <v>327</v>
      </c>
      <c r="AG30" s="31" t="s">
        <v>425</v>
      </c>
      <c r="AH30" s="32" t="s">
        <v>395</v>
      </c>
    </row>
    <row r="31" spans="1:34" x14ac:dyDescent="0.35">
      <c r="A31" s="2" t="s">
        <v>29</v>
      </c>
      <c r="B31" s="3" t="s">
        <v>158</v>
      </c>
      <c r="C31" s="4" t="s">
        <v>159</v>
      </c>
      <c r="D31" s="3" t="s">
        <v>160</v>
      </c>
      <c r="E31" s="12">
        <v>118</v>
      </c>
      <c r="F31" s="13">
        <v>139</v>
      </c>
      <c r="G31" s="13">
        <v>131</v>
      </c>
      <c r="H31" s="13">
        <v>145</v>
      </c>
      <c r="I31" s="13">
        <v>131</v>
      </c>
      <c r="J31" s="14">
        <v>125</v>
      </c>
      <c r="K31" s="15">
        <f t="shared" si="0"/>
        <v>789</v>
      </c>
      <c r="L31" s="16">
        <v>125</v>
      </c>
      <c r="M31" s="12">
        <v>91</v>
      </c>
      <c r="N31" s="12">
        <v>100</v>
      </c>
      <c r="O31" s="13">
        <v>144</v>
      </c>
      <c r="P31" s="13">
        <v>81</v>
      </c>
      <c r="Q31" s="14"/>
      <c r="R31" s="15">
        <f t="shared" si="1"/>
        <v>541</v>
      </c>
      <c r="S31" s="16"/>
      <c r="T31" s="12"/>
      <c r="U31" s="12"/>
      <c r="V31" s="1"/>
      <c r="W31" s="13"/>
      <c r="X31" s="14"/>
      <c r="Y31" s="15">
        <f t="shared" si="2"/>
        <v>0</v>
      </c>
      <c r="Z31" s="17">
        <f t="shared" si="3"/>
        <v>1330</v>
      </c>
      <c r="AA31" s="25" t="s">
        <v>359</v>
      </c>
      <c r="AB31" s="26" t="s">
        <v>363</v>
      </c>
      <c r="AC31" s="27" t="s">
        <v>369</v>
      </c>
      <c r="AD31" s="28" t="s">
        <v>319</v>
      </c>
      <c r="AE31" s="29" t="s">
        <v>344</v>
      </c>
      <c r="AF31" s="30" t="s">
        <v>377</v>
      </c>
      <c r="AG31" s="31" t="s">
        <v>423</v>
      </c>
      <c r="AH31" s="32" t="s">
        <v>403</v>
      </c>
    </row>
    <row r="32" spans="1:34" x14ac:dyDescent="0.35">
      <c r="A32" s="1" t="s">
        <v>30</v>
      </c>
      <c r="B32" s="3" t="s">
        <v>161</v>
      </c>
      <c r="C32" s="4" t="s">
        <v>162</v>
      </c>
      <c r="D32" s="3" t="s">
        <v>163</v>
      </c>
      <c r="E32" s="12">
        <v>72</v>
      </c>
      <c r="F32" s="13">
        <v>124</v>
      </c>
      <c r="G32" s="13">
        <v>84</v>
      </c>
      <c r="H32" s="13">
        <v>85</v>
      </c>
      <c r="I32" s="13">
        <v>112</v>
      </c>
      <c r="J32" s="14">
        <v>82</v>
      </c>
      <c r="K32" s="15">
        <f t="shared" si="0"/>
        <v>559</v>
      </c>
      <c r="L32" s="16">
        <v>106</v>
      </c>
      <c r="M32" s="12">
        <v>80</v>
      </c>
      <c r="N32" s="12">
        <v>102</v>
      </c>
      <c r="O32" s="13">
        <v>55</v>
      </c>
      <c r="P32" s="13">
        <v>48</v>
      </c>
      <c r="Q32" s="14"/>
      <c r="R32" s="15">
        <f t="shared" si="1"/>
        <v>391</v>
      </c>
      <c r="S32" s="16"/>
      <c r="T32" s="12"/>
      <c r="U32" s="12"/>
      <c r="V32" s="1"/>
      <c r="W32" s="13"/>
      <c r="X32" s="14"/>
      <c r="Y32" s="15">
        <f t="shared" si="2"/>
        <v>0</v>
      </c>
      <c r="Z32" s="17">
        <f t="shared" si="3"/>
        <v>950</v>
      </c>
      <c r="AA32" s="25" t="s">
        <v>328</v>
      </c>
      <c r="AB32" s="26" t="s">
        <v>317</v>
      </c>
      <c r="AC32" s="27" t="s">
        <v>378</v>
      </c>
      <c r="AD32" s="28" t="s">
        <v>330</v>
      </c>
      <c r="AE32" s="29" t="s">
        <v>331</v>
      </c>
      <c r="AF32" s="30" t="s">
        <v>337</v>
      </c>
      <c r="AG32" s="31" t="s">
        <v>424</v>
      </c>
      <c r="AH32" s="32" t="s">
        <v>412</v>
      </c>
    </row>
    <row r="33" spans="1:34" x14ac:dyDescent="0.35">
      <c r="A33" s="1" t="s">
        <v>31</v>
      </c>
      <c r="B33" s="3" t="s">
        <v>164</v>
      </c>
      <c r="C33" s="4" t="s">
        <v>165</v>
      </c>
      <c r="D33" s="5" t="s">
        <v>166</v>
      </c>
      <c r="E33" s="12">
        <v>103</v>
      </c>
      <c r="F33" s="13">
        <v>158</v>
      </c>
      <c r="G33" s="13">
        <v>93</v>
      </c>
      <c r="H33" s="13">
        <v>100</v>
      </c>
      <c r="I33" s="13">
        <v>113</v>
      </c>
      <c r="J33" s="14">
        <v>107</v>
      </c>
      <c r="K33" s="15">
        <f t="shared" si="0"/>
        <v>674</v>
      </c>
      <c r="L33" s="16">
        <v>100</v>
      </c>
      <c r="M33" s="12">
        <v>126</v>
      </c>
      <c r="N33" s="12">
        <v>80</v>
      </c>
      <c r="O33" s="13">
        <v>63</v>
      </c>
      <c r="P33" s="13">
        <v>84</v>
      </c>
      <c r="Q33" s="14"/>
      <c r="R33" s="15">
        <f t="shared" si="1"/>
        <v>453</v>
      </c>
      <c r="S33" s="16"/>
      <c r="T33" s="12"/>
      <c r="U33" s="12"/>
      <c r="V33" s="1"/>
      <c r="W33" s="13"/>
      <c r="X33" s="14"/>
      <c r="Y33" s="15">
        <f t="shared" si="2"/>
        <v>0</v>
      </c>
      <c r="Z33" s="17">
        <f t="shared" si="3"/>
        <v>1127</v>
      </c>
      <c r="AA33" s="25" t="s">
        <v>328</v>
      </c>
      <c r="AB33" s="26" t="s">
        <v>317</v>
      </c>
      <c r="AC33" s="27" t="s">
        <v>329</v>
      </c>
      <c r="AD33" s="28" t="s">
        <v>330</v>
      </c>
      <c r="AE33" s="29" t="s">
        <v>340</v>
      </c>
      <c r="AF33" s="30" t="s">
        <v>321</v>
      </c>
      <c r="AG33" s="31" t="s">
        <v>414</v>
      </c>
      <c r="AH33" s="32" t="s">
        <v>395</v>
      </c>
    </row>
    <row r="34" spans="1:34" x14ac:dyDescent="0.35">
      <c r="A34" s="2" t="s">
        <v>32</v>
      </c>
      <c r="B34" s="3"/>
      <c r="C34" s="4" t="s">
        <v>167</v>
      </c>
      <c r="D34" s="3" t="s">
        <v>168</v>
      </c>
      <c r="E34" s="12">
        <v>93</v>
      </c>
      <c r="F34" s="13">
        <v>152</v>
      </c>
      <c r="G34" s="13">
        <v>85</v>
      </c>
      <c r="H34" s="13">
        <v>149</v>
      </c>
      <c r="I34" s="13">
        <v>91</v>
      </c>
      <c r="J34" s="14">
        <v>118</v>
      </c>
      <c r="K34" s="15">
        <f t="shared" ref="K34:K65" si="4">SUM(E34:J34)</f>
        <v>688</v>
      </c>
      <c r="L34" s="16">
        <v>94</v>
      </c>
      <c r="M34" s="12">
        <v>87</v>
      </c>
      <c r="N34" s="12">
        <v>67</v>
      </c>
      <c r="O34" s="13">
        <v>85</v>
      </c>
      <c r="P34" s="13">
        <v>147</v>
      </c>
      <c r="Q34" s="14"/>
      <c r="R34" s="15">
        <f t="shared" ref="R34:R65" si="5">SUM(L34:Q34)</f>
        <v>480</v>
      </c>
      <c r="S34" s="16"/>
      <c r="T34" s="12"/>
      <c r="U34" s="12"/>
      <c r="V34" s="1"/>
      <c r="W34" s="13"/>
      <c r="X34" s="14"/>
      <c r="Y34" s="15">
        <f t="shared" ref="Y34:Y65" si="6">SUM(S34:X34)</f>
        <v>0</v>
      </c>
      <c r="Z34" s="17">
        <f t="shared" ref="Z34:Z65" si="7">SUM(Y34,R34,K34)</f>
        <v>1168</v>
      </c>
      <c r="AA34" s="25" t="s">
        <v>379</v>
      </c>
      <c r="AB34" s="26" t="s">
        <v>323</v>
      </c>
      <c r="AC34" s="27" t="s">
        <v>334</v>
      </c>
      <c r="AD34" s="28" t="s">
        <v>326</v>
      </c>
      <c r="AE34" s="29" t="s">
        <v>345</v>
      </c>
      <c r="AF34" s="30" t="s">
        <v>336</v>
      </c>
      <c r="AG34" s="31" t="s">
        <v>426</v>
      </c>
      <c r="AH34" s="32" t="s">
        <v>401</v>
      </c>
    </row>
    <row r="35" spans="1:34" x14ac:dyDescent="0.35">
      <c r="A35" s="2" t="s">
        <v>33</v>
      </c>
      <c r="B35" s="3" t="s">
        <v>169</v>
      </c>
      <c r="C35" s="4" t="s">
        <v>170</v>
      </c>
      <c r="D35" s="3" t="s">
        <v>171</v>
      </c>
      <c r="E35" s="12">
        <v>0</v>
      </c>
      <c r="F35" s="13">
        <v>0</v>
      </c>
      <c r="G35" s="13">
        <v>0</v>
      </c>
      <c r="H35" s="13">
        <v>0</v>
      </c>
      <c r="I35" s="13">
        <v>0</v>
      </c>
      <c r="J35" s="14">
        <v>0</v>
      </c>
      <c r="K35" s="15">
        <f t="shared" si="4"/>
        <v>0</v>
      </c>
      <c r="L35" s="16">
        <v>147</v>
      </c>
      <c r="M35" s="12">
        <v>70</v>
      </c>
      <c r="N35" s="12">
        <v>119</v>
      </c>
      <c r="O35" s="13">
        <v>108</v>
      </c>
      <c r="P35" s="13">
        <v>100</v>
      </c>
      <c r="Q35" s="14"/>
      <c r="R35" s="15">
        <f t="shared" si="5"/>
        <v>544</v>
      </c>
      <c r="S35" s="16"/>
      <c r="T35" s="12"/>
      <c r="U35" s="12"/>
      <c r="V35" s="1"/>
      <c r="W35" s="13"/>
      <c r="X35" s="14"/>
      <c r="Y35" s="15">
        <f t="shared" si="6"/>
        <v>0</v>
      </c>
      <c r="Z35" s="17">
        <f t="shared" si="7"/>
        <v>544</v>
      </c>
      <c r="AA35" s="25" t="s">
        <v>359</v>
      </c>
      <c r="AB35" s="26" t="s">
        <v>323</v>
      </c>
      <c r="AC35" s="27" t="s">
        <v>324</v>
      </c>
      <c r="AD35" s="28" t="s">
        <v>319</v>
      </c>
      <c r="AE35" s="29" t="s">
        <v>344</v>
      </c>
      <c r="AF35" s="30" t="s">
        <v>377</v>
      </c>
      <c r="AG35" s="31" t="s">
        <v>423</v>
      </c>
      <c r="AH35" s="32" t="s">
        <v>395</v>
      </c>
    </row>
    <row r="36" spans="1:34" x14ac:dyDescent="0.35">
      <c r="A36" s="2" t="s">
        <v>34</v>
      </c>
      <c r="B36" s="3" t="s">
        <v>172</v>
      </c>
      <c r="C36" s="4" t="s">
        <v>173</v>
      </c>
      <c r="D36" s="3" t="s">
        <v>174</v>
      </c>
      <c r="E36" s="12">
        <v>94</v>
      </c>
      <c r="F36" s="13">
        <v>131</v>
      </c>
      <c r="G36" s="13">
        <v>99</v>
      </c>
      <c r="H36" s="13">
        <v>88</v>
      </c>
      <c r="I36" s="13">
        <v>98</v>
      </c>
      <c r="J36" s="14">
        <v>108</v>
      </c>
      <c r="K36" s="15">
        <f t="shared" si="4"/>
        <v>618</v>
      </c>
      <c r="L36" s="16">
        <v>134</v>
      </c>
      <c r="M36" s="12">
        <v>119</v>
      </c>
      <c r="N36" s="12">
        <v>122</v>
      </c>
      <c r="O36" s="13">
        <v>122</v>
      </c>
      <c r="P36" s="13">
        <v>120</v>
      </c>
      <c r="Q36" s="14"/>
      <c r="R36" s="15">
        <f t="shared" si="5"/>
        <v>617</v>
      </c>
      <c r="S36" s="16"/>
      <c r="T36" s="12"/>
      <c r="U36" s="12"/>
      <c r="V36" s="1"/>
      <c r="W36" s="13"/>
      <c r="X36" s="14"/>
      <c r="Y36" s="15">
        <f t="shared" si="6"/>
        <v>0</v>
      </c>
      <c r="Z36" s="17">
        <f t="shared" si="7"/>
        <v>1235</v>
      </c>
      <c r="AA36" s="25" t="s">
        <v>333</v>
      </c>
      <c r="AB36" s="26" t="s">
        <v>323</v>
      </c>
      <c r="AC36" s="27" t="s">
        <v>324</v>
      </c>
      <c r="AD36" s="28" t="s">
        <v>325</v>
      </c>
      <c r="AE36" s="29" t="s">
        <v>326</v>
      </c>
      <c r="AF36" s="30" t="s">
        <v>336</v>
      </c>
      <c r="AG36" s="31" t="s">
        <v>414</v>
      </c>
      <c r="AH36" s="32" t="s">
        <v>395</v>
      </c>
    </row>
    <row r="37" spans="1:34" x14ac:dyDescent="0.35">
      <c r="A37" s="2" t="s">
        <v>35</v>
      </c>
      <c r="B37" s="3"/>
      <c r="C37" s="4" t="s">
        <v>175</v>
      </c>
      <c r="D37" s="3" t="s">
        <v>176</v>
      </c>
      <c r="E37" s="12">
        <v>93</v>
      </c>
      <c r="F37" s="13">
        <v>132</v>
      </c>
      <c r="G37" s="13">
        <v>93</v>
      </c>
      <c r="H37" s="13">
        <v>94</v>
      </c>
      <c r="I37" s="13">
        <v>102</v>
      </c>
      <c r="J37" s="14">
        <v>127</v>
      </c>
      <c r="K37" s="15">
        <f t="shared" si="4"/>
        <v>641</v>
      </c>
      <c r="L37" s="16">
        <v>96</v>
      </c>
      <c r="M37" s="12">
        <v>118</v>
      </c>
      <c r="N37" s="12">
        <v>114</v>
      </c>
      <c r="O37" s="13">
        <v>121</v>
      </c>
      <c r="P37" s="13">
        <v>117</v>
      </c>
      <c r="Q37" s="14"/>
      <c r="R37" s="15">
        <f t="shared" si="5"/>
        <v>566</v>
      </c>
      <c r="S37" s="16"/>
      <c r="T37" s="12"/>
      <c r="U37" s="12"/>
      <c r="V37" s="1"/>
      <c r="W37" s="13"/>
      <c r="X37" s="14"/>
      <c r="Y37" s="15">
        <f t="shared" si="6"/>
        <v>0</v>
      </c>
      <c r="Z37" s="17">
        <f t="shared" si="7"/>
        <v>1207</v>
      </c>
      <c r="AA37" s="25" t="s">
        <v>333</v>
      </c>
      <c r="AB37" s="26" t="s">
        <v>343</v>
      </c>
      <c r="AC37" s="27" t="s">
        <v>324</v>
      </c>
      <c r="AD37" s="28" t="s">
        <v>325</v>
      </c>
      <c r="AE37" s="29" t="s">
        <v>362</v>
      </c>
      <c r="AF37" s="30" t="s">
        <v>336</v>
      </c>
      <c r="AG37" s="31" t="s">
        <v>416</v>
      </c>
      <c r="AH37" s="32" t="s">
        <v>403</v>
      </c>
    </row>
    <row r="38" spans="1:34" x14ac:dyDescent="0.35">
      <c r="A38" s="2" t="s">
        <v>36</v>
      </c>
      <c r="B38" s="3" t="s">
        <v>177</v>
      </c>
      <c r="C38" s="4" t="s">
        <v>178</v>
      </c>
      <c r="D38" s="3" t="s">
        <v>179</v>
      </c>
      <c r="E38" s="12">
        <v>87</v>
      </c>
      <c r="F38" s="13">
        <v>143</v>
      </c>
      <c r="G38" s="13">
        <v>75</v>
      </c>
      <c r="H38" s="13">
        <v>99</v>
      </c>
      <c r="I38" s="13">
        <v>101</v>
      </c>
      <c r="J38" s="14">
        <v>104</v>
      </c>
      <c r="K38" s="15">
        <f t="shared" si="4"/>
        <v>609</v>
      </c>
      <c r="L38" s="16">
        <v>122</v>
      </c>
      <c r="M38" s="12">
        <v>99</v>
      </c>
      <c r="N38" s="12">
        <v>126</v>
      </c>
      <c r="O38" s="13">
        <v>101</v>
      </c>
      <c r="P38" s="13">
        <v>110</v>
      </c>
      <c r="Q38" s="14"/>
      <c r="R38" s="15">
        <f t="shared" si="5"/>
        <v>558</v>
      </c>
      <c r="S38" s="16"/>
      <c r="T38" s="12"/>
      <c r="U38" s="12"/>
      <c r="V38" s="1"/>
      <c r="W38" s="13"/>
      <c r="X38" s="14"/>
      <c r="Y38" s="15">
        <f t="shared" si="6"/>
        <v>0</v>
      </c>
      <c r="Z38" s="17">
        <f t="shared" si="7"/>
        <v>1167</v>
      </c>
      <c r="AA38" s="25" t="s">
        <v>380</v>
      </c>
      <c r="AB38" s="26" t="s">
        <v>343</v>
      </c>
      <c r="AC38" s="27" t="s">
        <v>381</v>
      </c>
      <c r="AD38" s="28" t="s">
        <v>330</v>
      </c>
      <c r="AE38" s="29" t="s">
        <v>382</v>
      </c>
      <c r="AF38" s="30" t="s">
        <v>336</v>
      </c>
      <c r="AG38" s="31" t="s">
        <v>422</v>
      </c>
      <c r="AH38" s="32" t="s">
        <v>395</v>
      </c>
    </row>
    <row r="39" spans="1:34" x14ac:dyDescent="0.35">
      <c r="A39" s="2" t="s">
        <v>37</v>
      </c>
      <c r="B39" s="3" t="s">
        <v>180</v>
      </c>
      <c r="C39" s="4" t="s">
        <v>181</v>
      </c>
      <c r="D39" s="3" t="s">
        <v>182</v>
      </c>
      <c r="E39" s="12">
        <v>101</v>
      </c>
      <c r="F39" s="13">
        <v>125</v>
      </c>
      <c r="G39" s="13">
        <v>121</v>
      </c>
      <c r="H39" s="13">
        <v>98</v>
      </c>
      <c r="I39" s="13">
        <v>113</v>
      </c>
      <c r="J39" s="14">
        <v>121</v>
      </c>
      <c r="K39" s="15">
        <f t="shared" si="4"/>
        <v>679</v>
      </c>
      <c r="L39" s="16">
        <v>110</v>
      </c>
      <c r="M39" s="12">
        <v>138</v>
      </c>
      <c r="N39" s="12">
        <v>57</v>
      </c>
      <c r="O39" s="13">
        <v>140</v>
      </c>
      <c r="P39" s="13">
        <v>90</v>
      </c>
      <c r="Q39" s="14"/>
      <c r="R39" s="15">
        <f t="shared" si="5"/>
        <v>535</v>
      </c>
      <c r="S39" s="16"/>
      <c r="T39" s="12"/>
      <c r="U39" s="12"/>
      <c r="V39" s="1"/>
      <c r="W39" s="13"/>
      <c r="X39" s="14"/>
      <c r="Y39" s="15">
        <f t="shared" si="6"/>
        <v>0</v>
      </c>
      <c r="Z39" s="17">
        <f t="shared" si="7"/>
        <v>1214</v>
      </c>
      <c r="AA39" s="25" t="s">
        <v>350</v>
      </c>
      <c r="AB39" s="26" t="s">
        <v>361</v>
      </c>
      <c r="AC39" s="27" t="s">
        <v>363</v>
      </c>
      <c r="AD39" s="28" t="s">
        <v>360</v>
      </c>
      <c r="AE39" s="29" t="s">
        <v>345</v>
      </c>
      <c r="AF39" s="30" t="s">
        <v>336</v>
      </c>
      <c r="AG39" s="31" t="s">
        <v>422</v>
      </c>
      <c r="AH39" s="32" t="s">
        <v>411</v>
      </c>
    </row>
    <row r="40" spans="1:34" x14ac:dyDescent="0.35">
      <c r="A40" s="2" t="s">
        <v>38</v>
      </c>
      <c r="B40" s="3" t="s">
        <v>183</v>
      </c>
      <c r="C40" s="4" t="s">
        <v>184</v>
      </c>
      <c r="D40" s="3" t="s">
        <v>185</v>
      </c>
      <c r="E40" s="12">
        <v>87</v>
      </c>
      <c r="F40" s="13">
        <v>139</v>
      </c>
      <c r="G40" s="13">
        <v>139</v>
      </c>
      <c r="H40" s="13">
        <v>118</v>
      </c>
      <c r="I40" s="13">
        <v>47</v>
      </c>
      <c r="J40" s="14">
        <v>88</v>
      </c>
      <c r="K40" s="15">
        <f t="shared" si="4"/>
        <v>618</v>
      </c>
      <c r="L40" s="16">
        <v>79</v>
      </c>
      <c r="M40" s="12">
        <v>133</v>
      </c>
      <c r="N40" s="12">
        <v>107</v>
      </c>
      <c r="O40" s="13">
        <v>109</v>
      </c>
      <c r="P40" s="13">
        <v>108</v>
      </c>
      <c r="Q40" s="14"/>
      <c r="R40" s="15">
        <f t="shared" si="5"/>
        <v>536</v>
      </c>
      <c r="S40" s="16"/>
      <c r="T40" s="12"/>
      <c r="U40" s="12"/>
      <c r="V40" s="1"/>
      <c r="W40" s="13"/>
      <c r="X40" s="14"/>
      <c r="Y40" s="15">
        <f t="shared" si="6"/>
        <v>0</v>
      </c>
      <c r="Z40" s="17">
        <f t="shared" si="7"/>
        <v>1154</v>
      </c>
      <c r="AA40" s="25" t="s">
        <v>342</v>
      </c>
      <c r="AB40" s="26" t="s">
        <v>343</v>
      </c>
      <c r="AC40" s="27" t="s">
        <v>324</v>
      </c>
      <c r="AD40" s="28" t="s">
        <v>383</v>
      </c>
      <c r="AE40" s="29" t="s">
        <v>340</v>
      </c>
      <c r="AF40" s="30" t="s">
        <v>327</v>
      </c>
      <c r="AG40" s="31" t="s">
        <v>420</v>
      </c>
      <c r="AH40" s="32" t="s">
        <v>400</v>
      </c>
    </row>
    <row r="41" spans="1:34" x14ac:dyDescent="0.35">
      <c r="A41" s="1" t="s">
        <v>39</v>
      </c>
      <c r="B41" s="3" t="s">
        <v>186</v>
      </c>
      <c r="C41" s="4" t="s">
        <v>187</v>
      </c>
      <c r="D41" s="3" t="s">
        <v>188</v>
      </c>
      <c r="E41" s="12">
        <v>98</v>
      </c>
      <c r="F41" s="13">
        <v>140</v>
      </c>
      <c r="G41" s="19">
        <v>160</v>
      </c>
      <c r="H41" s="13">
        <v>117</v>
      </c>
      <c r="I41" s="13">
        <v>72</v>
      </c>
      <c r="J41" s="14">
        <v>77</v>
      </c>
      <c r="K41" s="15">
        <f t="shared" si="4"/>
        <v>664</v>
      </c>
      <c r="L41" s="16">
        <v>124</v>
      </c>
      <c r="M41" s="12">
        <v>71</v>
      </c>
      <c r="N41" s="12">
        <v>127</v>
      </c>
      <c r="O41" s="13">
        <v>92</v>
      </c>
      <c r="P41" s="13">
        <v>114</v>
      </c>
      <c r="Q41" s="14"/>
      <c r="R41" s="15">
        <f t="shared" si="5"/>
        <v>528</v>
      </c>
      <c r="S41" s="16"/>
      <c r="T41" s="12"/>
      <c r="U41" s="12"/>
      <c r="V41" s="1"/>
      <c r="W41" s="13"/>
      <c r="X41" s="14"/>
      <c r="Y41" s="15">
        <f t="shared" si="6"/>
        <v>0</v>
      </c>
      <c r="Z41" s="17">
        <f t="shared" si="7"/>
        <v>1192</v>
      </c>
      <c r="AA41" s="25" t="s">
        <v>384</v>
      </c>
      <c r="AB41" s="26" t="s">
        <v>323</v>
      </c>
      <c r="AC41" s="27" t="s">
        <v>329</v>
      </c>
      <c r="AD41" s="28" t="s">
        <v>385</v>
      </c>
      <c r="AE41" s="29" t="s">
        <v>331</v>
      </c>
      <c r="AF41" s="30" t="s">
        <v>332</v>
      </c>
      <c r="AG41" s="31" t="s">
        <v>420</v>
      </c>
      <c r="AH41" s="32" t="s">
        <v>395</v>
      </c>
    </row>
    <row r="42" spans="1:34" x14ac:dyDescent="0.35">
      <c r="A42" s="2" t="s">
        <v>40</v>
      </c>
      <c r="B42" s="3" t="s">
        <v>189</v>
      </c>
      <c r="C42" s="4" t="s">
        <v>190</v>
      </c>
      <c r="D42" s="3" t="s">
        <v>191</v>
      </c>
      <c r="E42" s="12">
        <v>106</v>
      </c>
      <c r="F42" s="13">
        <v>163</v>
      </c>
      <c r="G42" s="13">
        <v>114</v>
      </c>
      <c r="H42" s="13">
        <v>106</v>
      </c>
      <c r="I42" s="13">
        <v>109</v>
      </c>
      <c r="J42" s="14">
        <v>127</v>
      </c>
      <c r="K42" s="15">
        <f t="shared" si="4"/>
        <v>725</v>
      </c>
      <c r="L42" s="16">
        <v>125</v>
      </c>
      <c r="M42" s="12">
        <v>99</v>
      </c>
      <c r="N42" s="12">
        <v>157</v>
      </c>
      <c r="O42" s="13">
        <v>121</v>
      </c>
      <c r="P42" s="13">
        <v>118</v>
      </c>
      <c r="Q42" s="14"/>
      <c r="R42" s="15">
        <f t="shared" si="5"/>
        <v>620</v>
      </c>
      <c r="S42" s="16"/>
      <c r="T42" s="12"/>
      <c r="U42" s="12"/>
      <c r="V42" s="1"/>
      <c r="W42" s="13"/>
      <c r="X42" s="14"/>
      <c r="Y42" s="15">
        <f t="shared" si="6"/>
        <v>0</v>
      </c>
      <c r="Z42" s="17">
        <f t="shared" si="7"/>
        <v>1345</v>
      </c>
      <c r="AA42" s="25" t="s">
        <v>348</v>
      </c>
      <c r="AB42" s="26" t="s">
        <v>334</v>
      </c>
      <c r="AC42" s="27" t="s">
        <v>323</v>
      </c>
      <c r="AD42" s="28" t="s">
        <v>335</v>
      </c>
      <c r="AE42" s="29" t="s">
        <v>345</v>
      </c>
      <c r="AF42" s="30" t="s">
        <v>327</v>
      </c>
      <c r="AG42" s="31" t="s">
        <v>414</v>
      </c>
      <c r="AH42" s="32" t="s">
        <v>395</v>
      </c>
    </row>
    <row r="43" spans="1:34" x14ac:dyDescent="0.35">
      <c r="A43" s="1" t="s">
        <v>41</v>
      </c>
      <c r="B43" s="3" t="s">
        <v>192</v>
      </c>
      <c r="C43" s="4" t="s">
        <v>193</v>
      </c>
      <c r="D43" s="3" t="s">
        <v>194</v>
      </c>
      <c r="E43" s="12">
        <v>120</v>
      </c>
      <c r="F43" s="13">
        <v>99</v>
      </c>
      <c r="G43" s="13">
        <v>99</v>
      </c>
      <c r="H43" s="13">
        <v>116</v>
      </c>
      <c r="I43" s="13">
        <v>105</v>
      </c>
      <c r="J43" s="14">
        <v>69</v>
      </c>
      <c r="K43" s="15">
        <f t="shared" si="4"/>
        <v>608</v>
      </c>
      <c r="L43" s="16">
        <v>60</v>
      </c>
      <c r="M43" s="12">
        <v>121</v>
      </c>
      <c r="N43" s="12">
        <v>80</v>
      </c>
      <c r="O43" s="13">
        <v>83</v>
      </c>
      <c r="P43" s="13">
        <v>113</v>
      </c>
      <c r="Q43" s="14"/>
      <c r="R43" s="15">
        <f t="shared" si="5"/>
        <v>457</v>
      </c>
      <c r="S43" s="16"/>
      <c r="T43" s="12"/>
      <c r="U43" s="12"/>
      <c r="V43" s="1"/>
      <c r="W43" s="13"/>
      <c r="X43" s="14"/>
      <c r="Y43" s="15">
        <f t="shared" si="6"/>
        <v>0</v>
      </c>
      <c r="Z43" s="17">
        <f t="shared" si="7"/>
        <v>1065</v>
      </c>
      <c r="AA43" s="25" t="s">
        <v>342</v>
      </c>
      <c r="AB43" s="26" t="s">
        <v>317</v>
      </c>
      <c r="AC43" s="27" t="s">
        <v>386</v>
      </c>
      <c r="AD43" s="28" t="s">
        <v>331</v>
      </c>
      <c r="AE43" s="29" t="s">
        <v>353</v>
      </c>
      <c r="AF43" s="30" t="s">
        <v>321</v>
      </c>
      <c r="AG43" s="31" t="s">
        <v>421</v>
      </c>
      <c r="AH43" s="32" t="s">
        <v>410</v>
      </c>
    </row>
    <row r="44" spans="1:34" x14ac:dyDescent="0.35">
      <c r="A44" s="2" t="s">
        <v>42</v>
      </c>
      <c r="B44" s="3" t="s">
        <v>195</v>
      </c>
      <c r="C44" s="4" t="s">
        <v>196</v>
      </c>
      <c r="D44" s="3" t="s">
        <v>197</v>
      </c>
      <c r="E44" s="12">
        <v>95</v>
      </c>
      <c r="F44" s="13">
        <v>121</v>
      </c>
      <c r="G44" s="13">
        <v>94</v>
      </c>
      <c r="H44" s="13">
        <v>76</v>
      </c>
      <c r="I44" s="13">
        <v>134</v>
      </c>
      <c r="J44" s="14">
        <v>130</v>
      </c>
      <c r="K44" s="15">
        <f t="shared" si="4"/>
        <v>650</v>
      </c>
      <c r="L44" s="16">
        <v>166</v>
      </c>
      <c r="M44" s="12">
        <v>128</v>
      </c>
      <c r="N44" s="12">
        <v>128</v>
      </c>
      <c r="O44" s="13">
        <v>84</v>
      </c>
      <c r="P44" s="13">
        <v>127</v>
      </c>
      <c r="Q44" s="14"/>
      <c r="R44" s="15">
        <f t="shared" si="5"/>
        <v>633</v>
      </c>
      <c r="S44" s="16"/>
      <c r="T44" s="12"/>
      <c r="U44" s="12"/>
      <c r="V44" s="1"/>
      <c r="W44" s="13"/>
      <c r="X44" s="14"/>
      <c r="Y44" s="15">
        <f t="shared" si="6"/>
        <v>0</v>
      </c>
      <c r="Z44" s="17">
        <f t="shared" si="7"/>
        <v>1283</v>
      </c>
      <c r="AA44" s="25" t="s">
        <v>359</v>
      </c>
      <c r="AB44" s="26" t="s">
        <v>323</v>
      </c>
      <c r="AC44" s="27" t="s">
        <v>324</v>
      </c>
      <c r="AD44" s="28" t="s">
        <v>360</v>
      </c>
      <c r="AE44" s="29" t="s">
        <v>320</v>
      </c>
      <c r="AF44" s="30" t="s">
        <v>327</v>
      </c>
      <c r="AG44" s="31" t="s">
        <v>414</v>
      </c>
      <c r="AH44" s="32" t="s">
        <v>404</v>
      </c>
    </row>
    <row r="45" spans="1:34" x14ac:dyDescent="0.35">
      <c r="A45" s="2" t="s">
        <v>43</v>
      </c>
      <c r="B45" s="3" t="s">
        <v>198</v>
      </c>
      <c r="C45" s="4" t="s">
        <v>199</v>
      </c>
      <c r="D45" s="3" t="s">
        <v>200</v>
      </c>
      <c r="E45" s="12">
        <v>113</v>
      </c>
      <c r="F45" s="13">
        <v>129</v>
      </c>
      <c r="G45" s="13">
        <v>101</v>
      </c>
      <c r="H45" s="13">
        <v>105</v>
      </c>
      <c r="I45" s="13">
        <v>98</v>
      </c>
      <c r="J45" s="14">
        <v>101</v>
      </c>
      <c r="K45" s="15">
        <f t="shared" si="4"/>
        <v>647</v>
      </c>
      <c r="L45" s="16">
        <v>139</v>
      </c>
      <c r="M45" s="12">
        <v>85</v>
      </c>
      <c r="N45" s="12">
        <v>170</v>
      </c>
      <c r="O45" s="13">
        <v>128</v>
      </c>
      <c r="P45" s="13">
        <v>143</v>
      </c>
      <c r="Q45" s="14"/>
      <c r="R45" s="15">
        <f t="shared" si="5"/>
        <v>665</v>
      </c>
      <c r="S45" s="16"/>
      <c r="T45" s="12"/>
      <c r="U45" s="12"/>
      <c r="V45" s="1"/>
      <c r="W45" s="13"/>
      <c r="X45" s="14"/>
      <c r="Y45" s="15">
        <f t="shared" si="6"/>
        <v>0</v>
      </c>
      <c r="Z45" s="17">
        <f t="shared" si="7"/>
        <v>1312</v>
      </c>
      <c r="AA45" s="25" t="s">
        <v>333</v>
      </c>
      <c r="AB45" s="26" t="s">
        <v>334</v>
      </c>
      <c r="AC45" s="27" t="s">
        <v>324</v>
      </c>
      <c r="AD45" s="28" t="s">
        <v>335</v>
      </c>
      <c r="AE45" s="29" t="s">
        <v>382</v>
      </c>
      <c r="AF45" s="30" t="s">
        <v>365</v>
      </c>
      <c r="AG45" s="31" t="s">
        <v>413</v>
      </c>
      <c r="AH45" s="32" t="s">
        <v>403</v>
      </c>
    </row>
    <row r="46" spans="1:34" x14ac:dyDescent="0.35">
      <c r="A46" s="2" t="s">
        <v>44</v>
      </c>
      <c r="B46" s="3" t="s">
        <v>201</v>
      </c>
      <c r="C46" s="6" t="s">
        <v>202</v>
      </c>
      <c r="D46" s="3" t="s">
        <v>203</v>
      </c>
      <c r="E46" s="12">
        <v>88</v>
      </c>
      <c r="F46" s="13">
        <v>128</v>
      </c>
      <c r="G46" s="13">
        <v>95</v>
      </c>
      <c r="H46" s="13">
        <v>88</v>
      </c>
      <c r="I46" s="13">
        <v>101</v>
      </c>
      <c r="J46" s="14">
        <v>78</v>
      </c>
      <c r="K46" s="15">
        <f t="shared" si="4"/>
        <v>578</v>
      </c>
      <c r="L46" s="16">
        <v>127</v>
      </c>
      <c r="M46" s="12">
        <v>102</v>
      </c>
      <c r="N46" s="12">
        <v>71</v>
      </c>
      <c r="O46" s="13">
        <v>114</v>
      </c>
      <c r="P46" s="13">
        <v>126</v>
      </c>
      <c r="Q46" s="14"/>
      <c r="R46" s="15">
        <f t="shared" si="5"/>
        <v>540</v>
      </c>
      <c r="S46" s="16"/>
      <c r="T46" s="12"/>
      <c r="U46" s="12"/>
      <c r="V46" s="1"/>
      <c r="W46" s="13"/>
      <c r="X46" s="14"/>
      <c r="Y46" s="15">
        <f t="shared" si="6"/>
        <v>0</v>
      </c>
      <c r="Z46" s="17">
        <f t="shared" si="7"/>
        <v>1118</v>
      </c>
      <c r="AA46" s="25" t="s">
        <v>322</v>
      </c>
      <c r="AB46" s="26" t="s">
        <v>334</v>
      </c>
      <c r="AC46" s="27" t="s">
        <v>323</v>
      </c>
      <c r="AD46" s="28" t="s">
        <v>344</v>
      </c>
      <c r="AE46" s="29" t="s">
        <v>326</v>
      </c>
      <c r="AF46" s="30" t="s">
        <v>327</v>
      </c>
      <c r="AG46" s="31" t="s">
        <v>414</v>
      </c>
      <c r="AH46" s="32" t="s">
        <v>401</v>
      </c>
    </row>
    <row r="47" spans="1:34" x14ac:dyDescent="0.35">
      <c r="A47" s="1" t="s">
        <v>45</v>
      </c>
      <c r="B47" s="3" t="s">
        <v>204</v>
      </c>
      <c r="C47" s="4" t="s">
        <v>205</v>
      </c>
      <c r="D47" s="3" t="s">
        <v>206</v>
      </c>
      <c r="E47" s="12">
        <v>111</v>
      </c>
      <c r="F47" s="13">
        <v>84</v>
      </c>
      <c r="G47" s="13">
        <v>98</v>
      </c>
      <c r="H47" s="13">
        <v>94</v>
      </c>
      <c r="I47" s="13">
        <v>83</v>
      </c>
      <c r="J47" s="14">
        <v>97</v>
      </c>
      <c r="K47" s="15">
        <f t="shared" si="4"/>
        <v>567</v>
      </c>
      <c r="L47" s="16">
        <v>117</v>
      </c>
      <c r="M47" s="12">
        <v>51</v>
      </c>
      <c r="N47" s="12">
        <v>133</v>
      </c>
      <c r="O47" s="13">
        <v>59</v>
      </c>
      <c r="P47" s="13">
        <v>136</v>
      </c>
      <c r="Q47" s="14"/>
      <c r="R47" s="15">
        <f t="shared" si="5"/>
        <v>496</v>
      </c>
      <c r="S47" s="16"/>
      <c r="T47" s="12"/>
      <c r="U47" s="12"/>
      <c r="V47" s="1"/>
      <c r="W47" s="13"/>
      <c r="X47" s="14"/>
      <c r="Y47" s="15">
        <f t="shared" si="6"/>
        <v>0</v>
      </c>
      <c r="Z47" s="17">
        <f t="shared" si="7"/>
        <v>1063</v>
      </c>
      <c r="AA47" s="25" t="s">
        <v>379</v>
      </c>
      <c r="AB47" s="26" t="s">
        <v>323</v>
      </c>
      <c r="AC47" s="27" t="s">
        <v>378</v>
      </c>
      <c r="AD47" s="28" t="s">
        <v>385</v>
      </c>
      <c r="AE47" s="29" t="s">
        <v>320</v>
      </c>
      <c r="AF47" s="30" t="s">
        <v>341</v>
      </c>
      <c r="AG47" s="31" t="s">
        <v>421</v>
      </c>
      <c r="AH47" s="32" t="s">
        <v>400</v>
      </c>
    </row>
    <row r="48" spans="1:34" x14ac:dyDescent="0.35">
      <c r="A48" s="1" t="s">
        <v>46</v>
      </c>
      <c r="B48" s="3" t="s">
        <v>207</v>
      </c>
      <c r="C48" s="4" t="s">
        <v>208</v>
      </c>
      <c r="D48" s="3" t="s">
        <v>209</v>
      </c>
      <c r="E48" s="12">
        <v>97</v>
      </c>
      <c r="F48" s="13">
        <v>167</v>
      </c>
      <c r="G48" s="13">
        <v>153</v>
      </c>
      <c r="H48" s="13">
        <v>117</v>
      </c>
      <c r="I48" s="13">
        <v>141</v>
      </c>
      <c r="J48" s="14">
        <v>125</v>
      </c>
      <c r="K48" s="15">
        <f t="shared" si="4"/>
        <v>800</v>
      </c>
      <c r="L48" s="16">
        <v>155</v>
      </c>
      <c r="M48" s="12">
        <v>130</v>
      </c>
      <c r="N48" s="12">
        <v>109</v>
      </c>
      <c r="O48" s="19">
        <v>156</v>
      </c>
      <c r="P48" s="13">
        <v>80</v>
      </c>
      <c r="Q48" s="14"/>
      <c r="R48" s="15">
        <f t="shared" si="5"/>
        <v>630</v>
      </c>
      <c r="S48" s="16"/>
      <c r="T48" s="12"/>
      <c r="U48" s="12"/>
      <c r="V48" s="1"/>
      <c r="W48" s="13"/>
      <c r="X48" s="14"/>
      <c r="Y48" s="15">
        <f t="shared" si="6"/>
        <v>0</v>
      </c>
      <c r="Z48" s="17">
        <f t="shared" si="7"/>
        <v>1430</v>
      </c>
      <c r="AA48" s="25" t="s">
        <v>350</v>
      </c>
      <c r="AB48" s="26" t="s">
        <v>363</v>
      </c>
      <c r="AC48" s="27" t="s">
        <v>355</v>
      </c>
      <c r="AD48" s="28" t="s">
        <v>330</v>
      </c>
      <c r="AE48" s="29" t="s">
        <v>340</v>
      </c>
      <c r="AF48" s="30" t="s">
        <v>341</v>
      </c>
      <c r="AG48" s="31" t="s">
        <v>427</v>
      </c>
      <c r="AH48" s="32" t="s">
        <v>401</v>
      </c>
    </row>
    <row r="49" spans="1:34" x14ac:dyDescent="0.35">
      <c r="A49" s="2" t="s">
        <v>47</v>
      </c>
      <c r="B49" s="3" t="s">
        <v>210</v>
      </c>
      <c r="C49" s="4" t="s">
        <v>211</v>
      </c>
      <c r="D49" s="3" t="s">
        <v>212</v>
      </c>
      <c r="E49" s="12">
        <v>65</v>
      </c>
      <c r="F49" s="13">
        <v>102</v>
      </c>
      <c r="G49" s="13">
        <v>120</v>
      </c>
      <c r="H49" s="13">
        <v>84</v>
      </c>
      <c r="I49" s="13">
        <v>66</v>
      </c>
      <c r="J49" s="14">
        <v>68</v>
      </c>
      <c r="K49" s="15">
        <f t="shared" si="4"/>
        <v>505</v>
      </c>
      <c r="L49" s="16">
        <v>87</v>
      </c>
      <c r="M49" s="12">
        <v>92</v>
      </c>
      <c r="N49" s="12">
        <v>91</v>
      </c>
      <c r="O49" s="13">
        <v>90</v>
      </c>
      <c r="P49" s="13">
        <v>121</v>
      </c>
      <c r="Q49" s="14"/>
      <c r="R49" s="15">
        <f t="shared" si="5"/>
        <v>481</v>
      </c>
      <c r="S49" s="16"/>
      <c r="T49" s="12"/>
      <c r="U49" s="12"/>
      <c r="V49" s="1"/>
      <c r="W49" s="13"/>
      <c r="X49" s="14"/>
      <c r="Y49" s="15">
        <f t="shared" si="6"/>
        <v>0</v>
      </c>
      <c r="Z49" s="17">
        <f t="shared" si="7"/>
        <v>986</v>
      </c>
      <c r="AA49" s="25" t="s">
        <v>322</v>
      </c>
      <c r="AB49" s="26" t="s">
        <v>343</v>
      </c>
      <c r="AC49" s="27" t="s">
        <v>329</v>
      </c>
      <c r="AD49" s="28" t="s">
        <v>325</v>
      </c>
      <c r="AE49" s="29" t="s">
        <v>319</v>
      </c>
      <c r="AF49" s="30" t="s">
        <v>377</v>
      </c>
      <c r="AG49" s="31" t="s">
        <v>416</v>
      </c>
      <c r="AH49" s="32" t="s">
        <v>409</v>
      </c>
    </row>
    <row r="50" spans="1:34" x14ac:dyDescent="0.35">
      <c r="A50" s="2" t="s">
        <v>48</v>
      </c>
      <c r="B50" s="3" t="s">
        <v>213</v>
      </c>
      <c r="C50" s="4" t="s">
        <v>214</v>
      </c>
      <c r="D50" s="3" t="s">
        <v>215</v>
      </c>
      <c r="E50" s="12">
        <v>97</v>
      </c>
      <c r="F50" s="13">
        <v>113</v>
      </c>
      <c r="G50" s="13">
        <v>118</v>
      </c>
      <c r="H50" s="13">
        <v>108</v>
      </c>
      <c r="I50" s="13">
        <v>80</v>
      </c>
      <c r="J50" s="14">
        <v>102</v>
      </c>
      <c r="K50" s="15">
        <f t="shared" si="4"/>
        <v>618</v>
      </c>
      <c r="L50" s="16">
        <v>124</v>
      </c>
      <c r="M50" s="12">
        <v>80</v>
      </c>
      <c r="N50" s="12">
        <v>143</v>
      </c>
      <c r="O50" s="13">
        <v>91</v>
      </c>
      <c r="P50" s="13">
        <v>135</v>
      </c>
      <c r="Q50" s="14"/>
      <c r="R50" s="15">
        <f t="shared" si="5"/>
        <v>573</v>
      </c>
      <c r="S50" s="16"/>
      <c r="T50" s="12"/>
      <c r="U50" s="12"/>
      <c r="V50" s="1"/>
      <c r="W50" s="13"/>
      <c r="X50" s="14"/>
      <c r="Y50" s="15">
        <f t="shared" si="6"/>
        <v>0</v>
      </c>
      <c r="Z50" s="17">
        <f t="shared" si="7"/>
        <v>1191</v>
      </c>
      <c r="AA50" s="25" t="s">
        <v>333</v>
      </c>
      <c r="AB50" s="26" t="s">
        <v>334</v>
      </c>
      <c r="AC50" s="27" t="s">
        <v>323</v>
      </c>
      <c r="AD50" s="28" t="s">
        <v>335</v>
      </c>
      <c r="AE50" s="29" t="s">
        <v>326</v>
      </c>
      <c r="AF50" s="30" t="s">
        <v>347</v>
      </c>
      <c r="AG50" s="31" t="s">
        <v>421</v>
      </c>
      <c r="AH50" s="32" t="s">
        <v>396</v>
      </c>
    </row>
    <row r="51" spans="1:34" x14ac:dyDescent="0.35">
      <c r="A51" s="2" t="s">
        <v>49</v>
      </c>
      <c r="B51" s="3" t="s">
        <v>216</v>
      </c>
      <c r="C51" s="4" t="s">
        <v>217</v>
      </c>
      <c r="D51" s="3" t="s">
        <v>218</v>
      </c>
      <c r="E51" s="12">
        <v>106</v>
      </c>
      <c r="F51" s="13">
        <v>150</v>
      </c>
      <c r="G51" s="13">
        <v>99</v>
      </c>
      <c r="H51" s="13">
        <v>92</v>
      </c>
      <c r="I51" s="19">
        <v>152</v>
      </c>
      <c r="J51" s="14">
        <v>115</v>
      </c>
      <c r="K51" s="15">
        <f t="shared" si="4"/>
        <v>714</v>
      </c>
      <c r="L51" s="16">
        <v>107</v>
      </c>
      <c r="M51" s="12">
        <v>80</v>
      </c>
      <c r="N51" s="12">
        <v>82</v>
      </c>
      <c r="O51" s="13">
        <v>103</v>
      </c>
      <c r="P51" s="13">
        <v>79</v>
      </c>
      <c r="Q51" s="14"/>
      <c r="R51" s="15">
        <f t="shared" si="5"/>
        <v>451</v>
      </c>
      <c r="S51" s="16"/>
      <c r="T51" s="12"/>
      <c r="U51" s="12"/>
      <c r="V51" s="1"/>
      <c r="W51" s="13"/>
      <c r="X51" s="14"/>
      <c r="Y51" s="15">
        <f t="shared" si="6"/>
        <v>0</v>
      </c>
      <c r="Z51" s="17">
        <f t="shared" si="7"/>
        <v>1165</v>
      </c>
      <c r="AA51" s="25" t="s">
        <v>322</v>
      </c>
      <c r="AB51" s="26" t="s">
        <v>343</v>
      </c>
      <c r="AC51" s="27" t="s">
        <v>324</v>
      </c>
      <c r="AD51" s="28" t="s">
        <v>330</v>
      </c>
      <c r="AE51" s="29" t="s">
        <v>340</v>
      </c>
      <c r="AF51" s="30" t="s">
        <v>387</v>
      </c>
      <c r="AG51" s="31" t="s">
        <v>428</v>
      </c>
      <c r="AH51" s="32" t="s">
        <v>395</v>
      </c>
    </row>
    <row r="52" spans="1:34" x14ac:dyDescent="0.35">
      <c r="A52" s="2" t="s">
        <v>50</v>
      </c>
      <c r="B52" s="3" t="s">
        <v>219</v>
      </c>
      <c r="C52" s="4" t="s">
        <v>220</v>
      </c>
      <c r="D52" s="3" t="s">
        <v>221</v>
      </c>
      <c r="E52" s="12">
        <v>102</v>
      </c>
      <c r="F52" s="13">
        <v>117</v>
      </c>
      <c r="G52" s="13">
        <v>89</v>
      </c>
      <c r="H52" s="13">
        <v>67</v>
      </c>
      <c r="I52" s="13">
        <v>91</v>
      </c>
      <c r="J52" s="14">
        <v>131</v>
      </c>
      <c r="K52" s="15">
        <f t="shared" si="4"/>
        <v>597</v>
      </c>
      <c r="L52" s="16">
        <v>132</v>
      </c>
      <c r="M52" s="12">
        <v>104</v>
      </c>
      <c r="N52" s="12">
        <v>82</v>
      </c>
      <c r="O52" s="13">
        <v>110</v>
      </c>
      <c r="P52" s="13">
        <v>104</v>
      </c>
      <c r="Q52" s="14"/>
      <c r="R52" s="15">
        <f t="shared" si="5"/>
        <v>532</v>
      </c>
      <c r="S52" s="16"/>
      <c r="T52" s="12"/>
      <c r="U52" s="12"/>
      <c r="V52" s="1"/>
      <c r="W52" s="13"/>
      <c r="X52" s="14"/>
      <c r="Y52" s="15">
        <f t="shared" si="6"/>
        <v>0</v>
      </c>
      <c r="Z52" s="17">
        <f t="shared" si="7"/>
        <v>1129</v>
      </c>
      <c r="AA52" s="25" t="s">
        <v>388</v>
      </c>
      <c r="AB52" s="26" t="s">
        <v>363</v>
      </c>
      <c r="AC52" s="27" t="s">
        <v>329</v>
      </c>
      <c r="AD52" s="28" t="s">
        <v>344</v>
      </c>
      <c r="AE52" s="29" t="s">
        <v>319</v>
      </c>
      <c r="AF52" s="30" t="s">
        <v>377</v>
      </c>
      <c r="AG52" s="31" t="s">
        <v>416</v>
      </c>
      <c r="AH52" s="32" t="s">
        <v>395</v>
      </c>
    </row>
    <row r="53" spans="1:34" x14ac:dyDescent="0.35">
      <c r="A53" s="2" t="s">
        <v>51</v>
      </c>
      <c r="B53" s="3" t="s">
        <v>222</v>
      </c>
      <c r="C53" s="4" t="s">
        <v>223</v>
      </c>
      <c r="D53" s="3" t="s">
        <v>224</v>
      </c>
      <c r="E53" s="12">
        <v>84</v>
      </c>
      <c r="F53" s="13">
        <v>112</v>
      </c>
      <c r="G53" s="13">
        <v>76</v>
      </c>
      <c r="H53" s="13">
        <v>62</v>
      </c>
      <c r="I53" s="13">
        <v>66</v>
      </c>
      <c r="J53" s="14">
        <v>98</v>
      </c>
      <c r="K53" s="15">
        <f t="shared" si="4"/>
        <v>498</v>
      </c>
      <c r="L53" s="16">
        <v>142</v>
      </c>
      <c r="M53" s="12">
        <v>110</v>
      </c>
      <c r="N53" s="12">
        <v>105</v>
      </c>
      <c r="O53" s="13">
        <v>46</v>
      </c>
      <c r="P53" s="13">
        <v>122</v>
      </c>
      <c r="Q53" s="14"/>
      <c r="R53" s="15">
        <f t="shared" si="5"/>
        <v>525</v>
      </c>
      <c r="S53" s="16"/>
      <c r="T53" s="12"/>
      <c r="U53" s="12"/>
      <c r="V53" s="1"/>
      <c r="W53" s="13"/>
      <c r="X53" s="14"/>
      <c r="Y53" s="15">
        <f t="shared" si="6"/>
        <v>0</v>
      </c>
      <c r="Z53" s="17">
        <f t="shared" si="7"/>
        <v>1023</v>
      </c>
      <c r="AA53" s="25" t="s">
        <v>359</v>
      </c>
      <c r="AB53" s="26" t="s">
        <v>361</v>
      </c>
      <c r="AC53" s="27" t="s">
        <v>323</v>
      </c>
      <c r="AD53" s="28" t="s">
        <v>360</v>
      </c>
      <c r="AE53" s="29" t="s">
        <v>362</v>
      </c>
      <c r="AF53" s="30" t="s">
        <v>327</v>
      </c>
      <c r="AG53" s="31" t="s">
        <v>419</v>
      </c>
      <c r="AH53" s="32" t="s">
        <v>396</v>
      </c>
    </row>
    <row r="54" spans="1:34" x14ac:dyDescent="0.35">
      <c r="A54" s="2" t="s">
        <v>52</v>
      </c>
      <c r="B54" s="3" t="s">
        <v>225</v>
      </c>
      <c r="C54" s="4" t="s">
        <v>226</v>
      </c>
      <c r="D54" s="3" t="s">
        <v>227</v>
      </c>
      <c r="E54" s="12">
        <v>103</v>
      </c>
      <c r="F54" s="13">
        <v>164</v>
      </c>
      <c r="G54" s="13">
        <v>116</v>
      </c>
      <c r="H54" s="13">
        <v>121</v>
      </c>
      <c r="I54" s="13">
        <v>119</v>
      </c>
      <c r="J54" s="14">
        <v>159</v>
      </c>
      <c r="K54" s="15">
        <f t="shared" si="4"/>
        <v>782</v>
      </c>
      <c r="L54" s="16">
        <v>173</v>
      </c>
      <c r="M54" s="12">
        <v>88</v>
      </c>
      <c r="N54" s="12">
        <v>127</v>
      </c>
      <c r="O54" s="13">
        <v>77</v>
      </c>
      <c r="P54" s="13">
        <v>121</v>
      </c>
      <c r="Q54" s="14"/>
      <c r="R54" s="15">
        <f t="shared" si="5"/>
        <v>586</v>
      </c>
      <c r="S54" s="16"/>
      <c r="T54" s="12"/>
      <c r="U54" s="12"/>
      <c r="V54" s="1"/>
      <c r="W54" s="13"/>
      <c r="X54" s="14"/>
      <c r="Y54" s="15">
        <f t="shared" si="6"/>
        <v>0</v>
      </c>
      <c r="Z54" s="17">
        <f t="shared" si="7"/>
        <v>1368</v>
      </c>
      <c r="AA54" s="25" t="s">
        <v>359</v>
      </c>
      <c r="AB54" s="26" t="s">
        <v>323</v>
      </c>
      <c r="AC54" s="27" t="s">
        <v>324</v>
      </c>
      <c r="AD54" s="28" t="s">
        <v>360</v>
      </c>
      <c r="AE54" s="29" t="s">
        <v>340</v>
      </c>
      <c r="AF54" s="30" t="s">
        <v>377</v>
      </c>
      <c r="AG54" s="31" t="s">
        <v>414</v>
      </c>
      <c r="AH54" s="32" t="s">
        <v>395</v>
      </c>
    </row>
    <row r="55" spans="1:34" x14ac:dyDescent="0.35">
      <c r="A55" s="2" t="s">
        <v>53</v>
      </c>
      <c r="B55" s="3" t="s">
        <v>228</v>
      </c>
      <c r="C55" s="4" t="s">
        <v>229</v>
      </c>
      <c r="D55" s="3" t="s">
        <v>230</v>
      </c>
      <c r="E55" s="12">
        <v>76</v>
      </c>
      <c r="F55" s="13">
        <v>160</v>
      </c>
      <c r="G55" s="13">
        <v>101</v>
      </c>
      <c r="H55" s="13">
        <v>99</v>
      </c>
      <c r="I55" s="13">
        <v>127</v>
      </c>
      <c r="J55" s="14">
        <v>97</v>
      </c>
      <c r="K55" s="15">
        <f t="shared" si="4"/>
        <v>660</v>
      </c>
      <c r="L55" s="16">
        <v>135</v>
      </c>
      <c r="M55" s="12">
        <v>86</v>
      </c>
      <c r="N55" s="12">
        <v>122</v>
      </c>
      <c r="O55" s="13">
        <v>110</v>
      </c>
      <c r="P55" s="13">
        <v>124</v>
      </c>
      <c r="Q55" s="14"/>
      <c r="R55" s="15">
        <f t="shared" si="5"/>
        <v>577</v>
      </c>
      <c r="S55" s="16"/>
      <c r="T55" s="12"/>
      <c r="U55" s="12"/>
      <c r="V55" s="1"/>
      <c r="W55" s="13"/>
      <c r="X55" s="14"/>
      <c r="Y55" s="15">
        <f t="shared" si="6"/>
        <v>0</v>
      </c>
      <c r="Z55" s="17">
        <f t="shared" si="7"/>
        <v>1237</v>
      </c>
      <c r="AA55" s="25" t="s">
        <v>322</v>
      </c>
      <c r="AB55" s="26" t="s">
        <v>323</v>
      </c>
      <c r="AC55" s="27" t="s">
        <v>329</v>
      </c>
      <c r="AD55" s="28" t="s">
        <v>330</v>
      </c>
      <c r="AE55" s="29" t="s">
        <v>331</v>
      </c>
      <c r="AF55" s="30" t="s">
        <v>347</v>
      </c>
      <c r="AG55" s="31" t="s">
        <v>422</v>
      </c>
      <c r="AH55" s="32" t="s">
        <v>407</v>
      </c>
    </row>
    <row r="56" spans="1:34" x14ac:dyDescent="0.35">
      <c r="A56" s="2" t="s">
        <v>54</v>
      </c>
      <c r="B56" s="3" t="s">
        <v>231</v>
      </c>
      <c r="C56" s="4" t="s">
        <v>232</v>
      </c>
      <c r="D56" s="3" t="s">
        <v>233</v>
      </c>
      <c r="E56" s="12">
        <v>76</v>
      </c>
      <c r="F56" s="13">
        <v>130</v>
      </c>
      <c r="G56" s="13">
        <v>88</v>
      </c>
      <c r="H56" s="13">
        <v>70</v>
      </c>
      <c r="I56" s="13">
        <v>109</v>
      </c>
      <c r="J56" s="14">
        <v>83</v>
      </c>
      <c r="K56" s="15">
        <f t="shared" si="4"/>
        <v>556</v>
      </c>
      <c r="L56" s="16">
        <v>133</v>
      </c>
      <c r="M56" s="12">
        <v>68</v>
      </c>
      <c r="N56" s="12">
        <v>86</v>
      </c>
      <c r="O56" s="13">
        <v>150</v>
      </c>
      <c r="P56" s="13">
        <v>101</v>
      </c>
      <c r="Q56" s="14"/>
      <c r="R56" s="15">
        <f t="shared" si="5"/>
        <v>538</v>
      </c>
      <c r="S56" s="16"/>
      <c r="T56" s="12"/>
      <c r="U56" s="12"/>
      <c r="V56" s="1"/>
      <c r="W56" s="13"/>
      <c r="X56" s="14"/>
      <c r="Y56" s="15">
        <f t="shared" si="6"/>
        <v>0</v>
      </c>
      <c r="Z56" s="17">
        <f t="shared" si="7"/>
        <v>1094</v>
      </c>
      <c r="AA56" s="25" t="s">
        <v>322</v>
      </c>
      <c r="AB56" s="26" t="s">
        <v>363</v>
      </c>
      <c r="AC56" s="27" t="s">
        <v>369</v>
      </c>
      <c r="AD56" s="28" t="s">
        <v>360</v>
      </c>
      <c r="AE56" s="29" t="s">
        <v>340</v>
      </c>
      <c r="AF56" s="30" t="s">
        <v>377</v>
      </c>
      <c r="AG56" s="31" t="s">
        <v>414</v>
      </c>
      <c r="AH56" s="32" t="s">
        <v>399</v>
      </c>
    </row>
    <row r="57" spans="1:34" x14ac:dyDescent="0.35">
      <c r="A57" s="2" t="s">
        <v>55</v>
      </c>
      <c r="B57" s="3" t="s">
        <v>234</v>
      </c>
      <c r="C57" s="4" t="s">
        <v>235</v>
      </c>
      <c r="D57" s="3" t="s">
        <v>236</v>
      </c>
      <c r="E57" s="12">
        <v>87</v>
      </c>
      <c r="F57" s="13">
        <v>138</v>
      </c>
      <c r="G57" s="13">
        <v>143</v>
      </c>
      <c r="H57" s="13">
        <v>136</v>
      </c>
      <c r="I57" s="13">
        <v>92</v>
      </c>
      <c r="J57" s="14">
        <v>139</v>
      </c>
      <c r="K57" s="15">
        <f t="shared" si="4"/>
        <v>735</v>
      </c>
      <c r="L57" s="16">
        <v>119</v>
      </c>
      <c r="M57" s="12">
        <v>142</v>
      </c>
      <c r="N57" s="12">
        <v>122</v>
      </c>
      <c r="O57" s="13">
        <v>83</v>
      </c>
      <c r="P57" s="13">
        <v>111</v>
      </c>
      <c r="Q57" s="14"/>
      <c r="R57" s="15">
        <f t="shared" si="5"/>
        <v>577</v>
      </c>
      <c r="S57" s="16"/>
      <c r="T57" s="12"/>
      <c r="U57" s="12"/>
      <c r="V57" s="1"/>
      <c r="W57" s="13"/>
      <c r="X57" s="14"/>
      <c r="Y57" s="15">
        <f t="shared" si="6"/>
        <v>0</v>
      </c>
      <c r="Z57" s="17">
        <f t="shared" si="7"/>
        <v>1312</v>
      </c>
      <c r="AA57" s="25" t="s">
        <v>333</v>
      </c>
      <c r="AB57" s="26" t="s">
        <v>334</v>
      </c>
      <c r="AC57" s="27" t="s">
        <v>324</v>
      </c>
      <c r="AD57" s="28" t="s">
        <v>349</v>
      </c>
      <c r="AE57" s="29" t="s">
        <v>325</v>
      </c>
      <c r="AF57" s="30" t="s">
        <v>327</v>
      </c>
      <c r="AG57" s="31" t="s">
        <v>419</v>
      </c>
      <c r="AH57" s="32" t="s">
        <v>403</v>
      </c>
    </row>
    <row r="58" spans="1:34" x14ac:dyDescent="0.35">
      <c r="A58" s="2" t="s">
        <v>56</v>
      </c>
      <c r="B58" s="3" t="s">
        <v>237</v>
      </c>
      <c r="C58" s="4" t="s">
        <v>238</v>
      </c>
      <c r="D58" s="3" t="s">
        <v>239</v>
      </c>
      <c r="E58" s="12">
        <v>107</v>
      </c>
      <c r="F58" s="13">
        <v>143</v>
      </c>
      <c r="G58" s="13">
        <v>131</v>
      </c>
      <c r="H58" s="13">
        <v>136</v>
      </c>
      <c r="I58" s="13">
        <v>113</v>
      </c>
      <c r="J58" s="14">
        <v>149</v>
      </c>
      <c r="K58" s="15">
        <f t="shared" si="4"/>
        <v>779</v>
      </c>
      <c r="L58" s="16">
        <v>152</v>
      </c>
      <c r="M58" s="12">
        <v>139</v>
      </c>
      <c r="N58" s="12">
        <v>116</v>
      </c>
      <c r="O58" s="13">
        <v>111</v>
      </c>
      <c r="P58" s="13">
        <v>90</v>
      </c>
      <c r="Q58" s="14"/>
      <c r="R58" s="15">
        <f t="shared" si="5"/>
        <v>608</v>
      </c>
      <c r="S58" s="16"/>
      <c r="T58" s="12"/>
      <c r="U58" s="12"/>
      <c r="V58" s="1"/>
      <c r="W58" s="13"/>
      <c r="X58" s="14"/>
      <c r="Y58" s="15">
        <f t="shared" si="6"/>
        <v>0</v>
      </c>
      <c r="Z58" s="17">
        <f t="shared" si="7"/>
        <v>1387</v>
      </c>
      <c r="AA58" s="25" t="s">
        <v>333</v>
      </c>
      <c r="AB58" s="26" t="s">
        <v>323</v>
      </c>
      <c r="AC58" s="27" t="s">
        <v>324</v>
      </c>
      <c r="AD58" s="28" t="s">
        <v>325</v>
      </c>
      <c r="AE58" s="29" t="s">
        <v>345</v>
      </c>
      <c r="AF58" s="30" t="s">
        <v>327</v>
      </c>
      <c r="AG58" s="31" t="s">
        <v>417</v>
      </c>
      <c r="AH58" s="32" t="s">
        <v>409</v>
      </c>
    </row>
    <row r="59" spans="1:34" x14ac:dyDescent="0.35">
      <c r="A59" s="2" t="s">
        <v>57</v>
      </c>
      <c r="B59" s="3" t="s">
        <v>198</v>
      </c>
      <c r="C59" s="4" t="s">
        <v>240</v>
      </c>
      <c r="D59" s="3" t="s">
        <v>241</v>
      </c>
      <c r="E59" s="12">
        <v>89</v>
      </c>
      <c r="F59" s="13">
        <v>132</v>
      </c>
      <c r="G59" s="13">
        <v>112</v>
      </c>
      <c r="H59" s="13">
        <v>94</v>
      </c>
      <c r="I59" s="13">
        <v>103</v>
      </c>
      <c r="J59" s="14">
        <v>90</v>
      </c>
      <c r="K59" s="15">
        <f t="shared" si="4"/>
        <v>620</v>
      </c>
      <c r="L59" s="16">
        <v>121</v>
      </c>
      <c r="M59" s="12">
        <v>111</v>
      </c>
      <c r="N59" s="12">
        <v>111</v>
      </c>
      <c r="O59" s="13">
        <v>81</v>
      </c>
      <c r="P59" s="13">
        <v>104</v>
      </c>
      <c r="Q59" s="14"/>
      <c r="R59" s="15">
        <f t="shared" si="5"/>
        <v>528</v>
      </c>
      <c r="S59" s="16"/>
      <c r="T59" s="12"/>
      <c r="U59" s="12"/>
      <c r="V59" s="1"/>
      <c r="W59" s="13"/>
      <c r="X59" s="14"/>
      <c r="Y59" s="15">
        <f t="shared" si="6"/>
        <v>0</v>
      </c>
      <c r="Z59" s="17">
        <f t="shared" si="7"/>
        <v>1148</v>
      </c>
      <c r="AA59" s="25" t="s">
        <v>333</v>
      </c>
      <c r="AB59" s="26" t="s">
        <v>334</v>
      </c>
      <c r="AC59" s="27" t="s">
        <v>324</v>
      </c>
      <c r="AD59" s="28" t="s">
        <v>326</v>
      </c>
      <c r="AE59" s="29" t="s">
        <v>340</v>
      </c>
      <c r="AF59" s="30" t="s">
        <v>321</v>
      </c>
      <c r="AG59" s="31" t="s">
        <v>429</v>
      </c>
      <c r="AH59" s="32" t="s">
        <v>395</v>
      </c>
    </row>
    <row r="60" spans="1:34" x14ac:dyDescent="0.35">
      <c r="A60" s="2" t="s">
        <v>58</v>
      </c>
      <c r="B60" s="3" t="s">
        <v>242</v>
      </c>
      <c r="C60" s="4" t="s">
        <v>243</v>
      </c>
      <c r="D60" s="3" t="s">
        <v>244</v>
      </c>
      <c r="E60" s="12">
        <v>104</v>
      </c>
      <c r="F60" s="13">
        <v>123</v>
      </c>
      <c r="G60" s="13">
        <v>102</v>
      </c>
      <c r="H60" s="13">
        <v>97</v>
      </c>
      <c r="I60" s="13">
        <v>82</v>
      </c>
      <c r="J60" s="14">
        <v>114</v>
      </c>
      <c r="K60" s="15">
        <f t="shared" si="4"/>
        <v>622</v>
      </c>
      <c r="L60" s="16">
        <v>101</v>
      </c>
      <c r="M60" s="12">
        <v>97</v>
      </c>
      <c r="N60" s="12">
        <v>155</v>
      </c>
      <c r="O60" s="13">
        <v>131</v>
      </c>
      <c r="P60" s="13">
        <v>133</v>
      </c>
      <c r="Q60" s="14"/>
      <c r="R60" s="15">
        <f t="shared" si="5"/>
        <v>617</v>
      </c>
      <c r="S60" s="16"/>
      <c r="T60" s="12"/>
      <c r="U60" s="12"/>
      <c r="V60" s="1"/>
      <c r="W60" s="13"/>
      <c r="X60" s="14"/>
      <c r="Y60" s="15">
        <f t="shared" si="6"/>
        <v>0</v>
      </c>
      <c r="Z60" s="17">
        <f t="shared" si="7"/>
        <v>1239</v>
      </c>
      <c r="AA60" s="25" t="s">
        <v>333</v>
      </c>
      <c r="AB60" s="26" t="s">
        <v>334</v>
      </c>
      <c r="AC60" s="27" t="s">
        <v>324</v>
      </c>
      <c r="AD60" s="28" t="s">
        <v>325</v>
      </c>
      <c r="AE60" s="29" t="s">
        <v>335</v>
      </c>
      <c r="AF60" s="30" t="s">
        <v>336</v>
      </c>
      <c r="AG60" s="31" t="s">
        <v>413</v>
      </c>
      <c r="AH60" s="32" t="s">
        <v>404</v>
      </c>
    </row>
    <row r="61" spans="1:34" x14ac:dyDescent="0.35">
      <c r="A61" s="2" t="s">
        <v>59</v>
      </c>
      <c r="B61" s="3" t="s">
        <v>245</v>
      </c>
      <c r="C61" s="4" t="s">
        <v>246</v>
      </c>
      <c r="D61" s="3" t="s">
        <v>247</v>
      </c>
      <c r="E61" s="12">
        <v>105</v>
      </c>
      <c r="F61" s="13">
        <v>126</v>
      </c>
      <c r="G61" s="13">
        <v>137</v>
      </c>
      <c r="H61" s="13">
        <v>89</v>
      </c>
      <c r="I61" s="13">
        <v>134</v>
      </c>
      <c r="J61" s="14">
        <v>130</v>
      </c>
      <c r="K61" s="15">
        <f t="shared" si="4"/>
        <v>721</v>
      </c>
      <c r="L61" s="16">
        <v>141</v>
      </c>
      <c r="M61" s="12">
        <v>102</v>
      </c>
      <c r="N61" s="12">
        <v>129</v>
      </c>
      <c r="O61" s="13">
        <v>127</v>
      </c>
      <c r="P61" s="13">
        <v>114</v>
      </c>
      <c r="Q61" s="14"/>
      <c r="R61" s="15">
        <f t="shared" si="5"/>
        <v>613</v>
      </c>
      <c r="S61" s="16"/>
      <c r="T61" s="12"/>
      <c r="U61" s="12"/>
      <c r="V61" s="1"/>
      <c r="W61" s="13"/>
      <c r="X61" s="14"/>
      <c r="Y61" s="15">
        <f t="shared" si="6"/>
        <v>0</v>
      </c>
      <c r="Z61" s="17">
        <f t="shared" si="7"/>
        <v>1334</v>
      </c>
      <c r="AA61" s="25" t="s">
        <v>333</v>
      </c>
      <c r="AB61" s="26" t="s">
        <v>334</v>
      </c>
      <c r="AC61" s="27" t="s">
        <v>324</v>
      </c>
      <c r="AD61" s="28" t="s">
        <v>389</v>
      </c>
      <c r="AE61" s="29" t="s">
        <v>320</v>
      </c>
      <c r="AF61" s="30" t="s">
        <v>336</v>
      </c>
      <c r="AG61" s="31" t="s">
        <v>423</v>
      </c>
      <c r="AH61" s="32" t="s">
        <v>395</v>
      </c>
    </row>
    <row r="62" spans="1:34" x14ac:dyDescent="0.35">
      <c r="A62" s="2" t="s">
        <v>60</v>
      </c>
      <c r="B62" s="3" t="s">
        <v>248</v>
      </c>
      <c r="C62" s="4" t="s">
        <v>249</v>
      </c>
      <c r="D62" s="3" t="s">
        <v>250</v>
      </c>
      <c r="E62" s="12">
        <v>103</v>
      </c>
      <c r="F62" s="13">
        <v>120</v>
      </c>
      <c r="G62" s="13">
        <v>99</v>
      </c>
      <c r="H62" s="13">
        <v>72</v>
      </c>
      <c r="I62" s="13">
        <v>103</v>
      </c>
      <c r="J62" s="14">
        <v>103</v>
      </c>
      <c r="K62" s="15">
        <f t="shared" si="4"/>
        <v>600</v>
      </c>
      <c r="L62" s="16">
        <v>67</v>
      </c>
      <c r="M62" s="12">
        <v>118</v>
      </c>
      <c r="N62" s="12">
        <v>64</v>
      </c>
      <c r="O62" s="13">
        <v>100</v>
      </c>
      <c r="P62" s="13">
        <v>100</v>
      </c>
      <c r="Q62" s="14"/>
      <c r="R62" s="15">
        <f t="shared" si="5"/>
        <v>449</v>
      </c>
      <c r="S62" s="16"/>
      <c r="T62" s="12"/>
      <c r="U62" s="12"/>
      <c r="V62" s="1"/>
      <c r="W62" s="13"/>
      <c r="X62" s="14"/>
      <c r="Y62" s="15">
        <f t="shared" si="6"/>
        <v>0</v>
      </c>
      <c r="Z62" s="17">
        <f t="shared" si="7"/>
        <v>1049</v>
      </c>
      <c r="AA62" s="25" t="s">
        <v>342</v>
      </c>
      <c r="AB62" s="26" t="s">
        <v>317</v>
      </c>
      <c r="AC62" s="27" t="s">
        <v>390</v>
      </c>
      <c r="AD62" s="28" t="s">
        <v>344</v>
      </c>
      <c r="AE62" s="29" t="s">
        <v>391</v>
      </c>
      <c r="AF62" s="30" t="s">
        <v>347</v>
      </c>
      <c r="AG62" s="31" t="s">
        <v>426</v>
      </c>
      <c r="AH62" s="32" t="s">
        <v>408</v>
      </c>
    </row>
    <row r="63" spans="1:34" x14ac:dyDescent="0.35">
      <c r="A63" s="1" t="s">
        <v>61</v>
      </c>
      <c r="B63" s="3" t="s">
        <v>251</v>
      </c>
      <c r="C63" s="4" t="s">
        <v>252</v>
      </c>
      <c r="D63" s="3" t="s">
        <v>253</v>
      </c>
      <c r="E63" s="12">
        <v>119</v>
      </c>
      <c r="F63" s="13">
        <v>102</v>
      </c>
      <c r="G63" s="13">
        <v>132</v>
      </c>
      <c r="H63" s="13">
        <v>95</v>
      </c>
      <c r="I63" s="13">
        <v>95</v>
      </c>
      <c r="J63" s="14">
        <v>116</v>
      </c>
      <c r="K63" s="15">
        <f t="shared" si="4"/>
        <v>659</v>
      </c>
      <c r="L63" s="16">
        <v>107</v>
      </c>
      <c r="M63" s="12">
        <v>137</v>
      </c>
      <c r="N63" s="12">
        <v>84</v>
      </c>
      <c r="O63" s="13">
        <v>90</v>
      </c>
      <c r="P63" s="13">
        <v>93</v>
      </c>
      <c r="Q63" s="14"/>
      <c r="R63" s="15">
        <f t="shared" si="5"/>
        <v>511</v>
      </c>
      <c r="S63" s="16"/>
      <c r="T63" s="12"/>
      <c r="U63" s="12"/>
      <c r="V63" s="1"/>
      <c r="W63" s="13"/>
      <c r="X63" s="14"/>
      <c r="Y63" s="15">
        <f t="shared" si="6"/>
        <v>0</v>
      </c>
      <c r="Z63" s="17">
        <f t="shared" si="7"/>
        <v>1170</v>
      </c>
      <c r="AA63" s="25" t="s">
        <v>350</v>
      </c>
      <c r="AB63" s="26" t="s">
        <v>317</v>
      </c>
      <c r="AC63" s="27" t="s">
        <v>329</v>
      </c>
      <c r="AD63" s="28" t="s">
        <v>385</v>
      </c>
      <c r="AE63" s="29" t="s">
        <v>391</v>
      </c>
      <c r="AF63" s="30" t="s">
        <v>341</v>
      </c>
      <c r="AG63" s="31" t="s">
        <v>414</v>
      </c>
      <c r="AH63" s="32" t="s">
        <v>395</v>
      </c>
    </row>
    <row r="64" spans="1:34" x14ac:dyDescent="0.35">
      <c r="A64" s="2" t="s">
        <v>62</v>
      </c>
      <c r="B64" s="3" t="s">
        <v>254</v>
      </c>
      <c r="C64" s="6" t="s">
        <v>255</v>
      </c>
      <c r="D64" s="3" t="s">
        <v>256</v>
      </c>
      <c r="E64" s="12">
        <v>68</v>
      </c>
      <c r="F64" s="13">
        <v>118</v>
      </c>
      <c r="G64" s="13">
        <v>96</v>
      </c>
      <c r="H64" s="13">
        <v>82</v>
      </c>
      <c r="I64" s="13">
        <v>72</v>
      </c>
      <c r="J64" s="14">
        <v>75</v>
      </c>
      <c r="K64" s="15">
        <f t="shared" si="4"/>
        <v>511</v>
      </c>
      <c r="L64" s="16">
        <v>143</v>
      </c>
      <c r="M64" s="18">
        <v>148</v>
      </c>
      <c r="N64" s="12">
        <v>84</v>
      </c>
      <c r="O64" s="13">
        <v>84</v>
      </c>
      <c r="P64" s="13">
        <v>76</v>
      </c>
      <c r="Q64" s="14"/>
      <c r="R64" s="15">
        <f t="shared" si="5"/>
        <v>535</v>
      </c>
      <c r="S64" s="16"/>
      <c r="T64" s="12"/>
      <c r="U64" s="12"/>
      <c r="V64" s="1"/>
      <c r="W64" s="13"/>
      <c r="X64" s="14"/>
      <c r="Y64" s="15">
        <f t="shared" si="6"/>
        <v>0</v>
      </c>
      <c r="Z64" s="17">
        <f t="shared" si="7"/>
        <v>1046</v>
      </c>
      <c r="AA64" s="25" t="s">
        <v>359</v>
      </c>
      <c r="AB64" s="26" t="s">
        <v>361</v>
      </c>
      <c r="AC64" s="27" t="s">
        <v>363</v>
      </c>
      <c r="AD64" s="28" t="s">
        <v>389</v>
      </c>
      <c r="AE64" s="29" t="s">
        <v>325</v>
      </c>
      <c r="AF64" s="30" t="s">
        <v>336</v>
      </c>
      <c r="AG64" s="31" t="s">
        <v>419</v>
      </c>
      <c r="AH64" s="32" t="s">
        <v>395</v>
      </c>
    </row>
    <row r="65" spans="1:34" x14ac:dyDescent="0.35">
      <c r="A65" s="2" t="s">
        <v>63</v>
      </c>
      <c r="B65" s="3" t="s">
        <v>257</v>
      </c>
      <c r="C65" s="4" t="s">
        <v>258</v>
      </c>
      <c r="D65" s="3" t="s">
        <v>259</v>
      </c>
      <c r="E65" s="12">
        <v>101</v>
      </c>
      <c r="F65" s="13">
        <v>128</v>
      </c>
      <c r="G65" s="13">
        <v>128</v>
      </c>
      <c r="H65" s="13">
        <v>137</v>
      </c>
      <c r="I65" s="13">
        <v>109</v>
      </c>
      <c r="J65" s="14">
        <v>103</v>
      </c>
      <c r="K65" s="15">
        <f t="shared" si="4"/>
        <v>706</v>
      </c>
      <c r="L65" s="16">
        <v>123</v>
      </c>
      <c r="M65" s="12">
        <v>46</v>
      </c>
      <c r="N65" s="12">
        <v>119</v>
      </c>
      <c r="O65" s="13">
        <v>92</v>
      </c>
      <c r="P65" s="13">
        <v>104</v>
      </c>
      <c r="Q65" s="14"/>
      <c r="R65" s="15">
        <f t="shared" si="5"/>
        <v>484</v>
      </c>
      <c r="S65" s="16"/>
      <c r="T65" s="12"/>
      <c r="U65" s="12"/>
      <c r="V65" s="1"/>
      <c r="W65" s="13"/>
      <c r="X65" s="14"/>
      <c r="Y65" s="15">
        <f t="shared" si="6"/>
        <v>0</v>
      </c>
      <c r="Z65" s="17">
        <f t="shared" si="7"/>
        <v>1190</v>
      </c>
      <c r="AA65" s="25" t="s">
        <v>392</v>
      </c>
      <c r="AB65" s="26" t="s">
        <v>361</v>
      </c>
      <c r="AC65" s="27" t="s">
        <v>323</v>
      </c>
      <c r="AD65" s="28" t="s">
        <v>326</v>
      </c>
      <c r="AE65" s="29" t="s">
        <v>340</v>
      </c>
      <c r="AF65" s="30" t="s">
        <v>347</v>
      </c>
      <c r="AG65" s="31" t="s">
        <v>413</v>
      </c>
      <c r="AH65" s="32" t="s">
        <v>396</v>
      </c>
    </row>
    <row r="66" spans="1:34" x14ac:dyDescent="0.35">
      <c r="A66" s="1" t="s">
        <v>64</v>
      </c>
      <c r="B66" s="3" t="s">
        <v>260</v>
      </c>
      <c r="C66" s="4" t="s">
        <v>261</v>
      </c>
      <c r="D66" s="3" t="s">
        <v>262</v>
      </c>
      <c r="E66" s="12">
        <v>109</v>
      </c>
      <c r="F66" s="13">
        <v>114</v>
      </c>
      <c r="G66" s="13">
        <v>66</v>
      </c>
      <c r="H66" s="13">
        <v>105</v>
      </c>
      <c r="I66" s="13">
        <v>61</v>
      </c>
      <c r="J66" s="14">
        <v>82</v>
      </c>
      <c r="K66" s="15">
        <f t="shared" ref="K66:K97" si="8">SUM(E66:J66)</f>
        <v>537</v>
      </c>
      <c r="L66" s="16">
        <v>97</v>
      </c>
      <c r="M66" s="12">
        <v>100</v>
      </c>
      <c r="N66" s="12">
        <v>98</v>
      </c>
      <c r="O66" s="13">
        <v>57</v>
      </c>
      <c r="P66" s="13">
        <v>86</v>
      </c>
      <c r="Q66" s="14"/>
      <c r="R66" s="15">
        <f t="shared" ref="R66:R97" si="9">SUM(L66:Q66)</f>
        <v>438</v>
      </c>
      <c r="S66" s="16"/>
      <c r="T66" s="12"/>
      <c r="U66" s="12"/>
      <c r="V66" s="1"/>
      <c r="W66" s="13"/>
      <c r="X66" s="14"/>
      <c r="Y66" s="15">
        <f t="shared" ref="Y66:Y97" si="10">SUM(S66:X66)</f>
        <v>0</v>
      </c>
      <c r="Z66" s="17">
        <f t="shared" ref="Z66:Z97" si="11">SUM(Y66,R66,K66)</f>
        <v>975</v>
      </c>
      <c r="AA66" s="25" t="s">
        <v>359</v>
      </c>
      <c r="AB66" s="26" t="s">
        <v>317</v>
      </c>
      <c r="AC66" s="27" t="s">
        <v>339</v>
      </c>
      <c r="AD66" s="28" t="s">
        <v>375</v>
      </c>
      <c r="AE66" s="29" t="s">
        <v>382</v>
      </c>
      <c r="AF66" s="30" t="s">
        <v>332</v>
      </c>
      <c r="AG66" s="31" t="s">
        <v>430</v>
      </c>
      <c r="AH66" s="32" t="s">
        <v>407</v>
      </c>
    </row>
    <row r="67" spans="1:34" x14ac:dyDescent="0.35">
      <c r="A67" s="2" t="s">
        <v>65</v>
      </c>
      <c r="B67" s="3" t="s">
        <v>263</v>
      </c>
      <c r="C67" s="4" t="s">
        <v>264</v>
      </c>
      <c r="D67" s="3" t="s">
        <v>265</v>
      </c>
      <c r="E67" s="12">
        <v>97</v>
      </c>
      <c r="F67" s="13">
        <v>129</v>
      </c>
      <c r="G67" s="13">
        <v>109</v>
      </c>
      <c r="H67" s="13">
        <v>119</v>
      </c>
      <c r="I67" s="13">
        <v>125</v>
      </c>
      <c r="J67" s="14">
        <v>77</v>
      </c>
      <c r="K67" s="15">
        <f t="shared" si="8"/>
        <v>656</v>
      </c>
      <c r="L67" s="16">
        <v>121</v>
      </c>
      <c r="M67" s="12">
        <v>60</v>
      </c>
      <c r="N67" s="12">
        <v>88</v>
      </c>
      <c r="O67" s="13">
        <v>75</v>
      </c>
      <c r="P67" s="13">
        <v>82</v>
      </c>
      <c r="Q67" s="14"/>
      <c r="R67" s="15">
        <f t="shared" si="9"/>
        <v>426</v>
      </c>
      <c r="S67" s="16"/>
      <c r="T67" s="12"/>
      <c r="U67" s="12"/>
      <c r="V67" s="1"/>
      <c r="W67" s="13"/>
      <c r="X67" s="14"/>
      <c r="Y67" s="15">
        <f t="shared" si="10"/>
        <v>0</v>
      </c>
      <c r="Z67" s="17">
        <f t="shared" si="11"/>
        <v>1082</v>
      </c>
      <c r="AA67" s="25" t="s">
        <v>393</v>
      </c>
      <c r="AB67" s="26" t="s">
        <v>361</v>
      </c>
      <c r="AC67" s="27" t="s">
        <v>323</v>
      </c>
      <c r="AD67" s="28" t="s">
        <v>362</v>
      </c>
      <c r="AE67" s="29" t="s">
        <v>345</v>
      </c>
      <c r="AF67" s="30" t="s">
        <v>354</v>
      </c>
      <c r="AG67" s="31" t="s">
        <v>425</v>
      </c>
      <c r="AH67" s="32" t="s">
        <v>406</v>
      </c>
    </row>
    <row r="68" spans="1:34" x14ac:dyDescent="0.35">
      <c r="A68" s="2" t="s">
        <v>66</v>
      </c>
      <c r="B68" s="3" t="s">
        <v>266</v>
      </c>
      <c r="C68" s="4" t="s">
        <v>267</v>
      </c>
      <c r="D68" s="3" t="s">
        <v>268</v>
      </c>
      <c r="E68" s="12">
        <v>109</v>
      </c>
      <c r="F68" s="13">
        <v>111</v>
      </c>
      <c r="G68" s="13">
        <v>119</v>
      </c>
      <c r="H68" s="13">
        <v>139</v>
      </c>
      <c r="I68" s="13">
        <v>77</v>
      </c>
      <c r="J68" s="14">
        <v>113</v>
      </c>
      <c r="K68" s="15">
        <f t="shared" si="8"/>
        <v>668</v>
      </c>
      <c r="L68" s="16">
        <v>54</v>
      </c>
      <c r="M68" s="12">
        <v>136</v>
      </c>
      <c r="N68" s="12">
        <v>99</v>
      </c>
      <c r="O68" s="13">
        <v>154</v>
      </c>
      <c r="P68" s="13">
        <v>137</v>
      </c>
      <c r="Q68" s="14"/>
      <c r="R68" s="15">
        <f t="shared" si="9"/>
        <v>580</v>
      </c>
      <c r="S68" s="16"/>
      <c r="T68" s="12"/>
      <c r="U68" s="12"/>
      <c r="V68" s="1"/>
      <c r="W68" s="13"/>
      <c r="X68" s="14"/>
      <c r="Y68" s="15">
        <f t="shared" si="10"/>
        <v>0</v>
      </c>
      <c r="Z68" s="17">
        <f t="shared" si="11"/>
        <v>1248</v>
      </c>
      <c r="AA68" s="25" t="s">
        <v>333</v>
      </c>
      <c r="AB68" s="26" t="s">
        <v>338</v>
      </c>
      <c r="AC68" s="27" t="s">
        <v>329</v>
      </c>
      <c r="AD68" s="28" t="s">
        <v>362</v>
      </c>
      <c r="AE68" s="29" t="s">
        <v>394</v>
      </c>
      <c r="AF68" s="30" t="s">
        <v>336</v>
      </c>
      <c r="AG68" s="31" t="s">
        <v>415</v>
      </c>
      <c r="AH68" s="32" t="s">
        <v>402</v>
      </c>
    </row>
    <row r="69" spans="1:34" x14ac:dyDescent="0.35">
      <c r="A69" s="2" t="s">
        <v>67</v>
      </c>
      <c r="B69" s="3" t="s">
        <v>269</v>
      </c>
      <c r="C69" s="4" t="s">
        <v>270</v>
      </c>
      <c r="D69" s="3" t="s">
        <v>271</v>
      </c>
      <c r="E69" s="12">
        <v>73</v>
      </c>
      <c r="F69" s="13">
        <v>116</v>
      </c>
      <c r="G69" s="13">
        <v>53</v>
      </c>
      <c r="H69" s="13">
        <v>51</v>
      </c>
      <c r="I69" s="13">
        <v>68</v>
      </c>
      <c r="J69" s="14">
        <v>64</v>
      </c>
      <c r="K69" s="15">
        <f t="shared" si="8"/>
        <v>425</v>
      </c>
      <c r="L69" s="16">
        <v>79</v>
      </c>
      <c r="M69" s="12">
        <v>87</v>
      </c>
      <c r="N69" s="12">
        <v>92</v>
      </c>
      <c r="O69" s="13">
        <v>124</v>
      </c>
      <c r="P69" s="13">
        <v>72</v>
      </c>
      <c r="Q69" s="14"/>
      <c r="R69" s="15">
        <f t="shared" si="9"/>
        <v>454</v>
      </c>
      <c r="S69" s="16"/>
      <c r="T69" s="12"/>
      <c r="U69" s="12"/>
      <c r="V69" s="1"/>
      <c r="W69" s="13"/>
      <c r="X69" s="14"/>
      <c r="Y69" s="15">
        <f t="shared" si="10"/>
        <v>0</v>
      </c>
      <c r="Z69" s="17">
        <f t="shared" si="11"/>
        <v>879</v>
      </c>
      <c r="AA69" s="25" t="s">
        <v>380</v>
      </c>
      <c r="AB69" s="26" t="s">
        <v>361</v>
      </c>
      <c r="AC69" s="27" t="s">
        <v>355</v>
      </c>
      <c r="AD69" s="28" t="s">
        <v>319</v>
      </c>
      <c r="AE69" s="29" t="s">
        <v>345</v>
      </c>
      <c r="AF69" s="30" t="s">
        <v>347</v>
      </c>
      <c r="AG69" s="31" t="s">
        <v>428</v>
      </c>
      <c r="AH69" s="32" t="s">
        <v>405</v>
      </c>
    </row>
    <row r="70" spans="1:34" x14ac:dyDescent="0.35">
      <c r="A70" s="1" t="s">
        <v>68</v>
      </c>
      <c r="B70" s="3" t="s">
        <v>272</v>
      </c>
      <c r="C70" s="4" t="s">
        <v>273</v>
      </c>
      <c r="D70" s="3" t="s">
        <v>274</v>
      </c>
      <c r="E70" s="12">
        <v>96</v>
      </c>
      <c r="F70" s="13">
        <v>127</v>
      </c>
      <c r="G70" s="13">
        <v>127</v>
      </c>
      <c r="H70" s="13">
        <v>87</v>
      </c>
      <c r="I70" s="13">
        <v>119</v>
      </c>
      <c r="J70" s="14">
        <v>112</v>
      </c>
      <c r="K70" s="15">
        <f t="shared" si="8"/>
        <v>668</v>
      </c>
      <c r="L70" s="16">
        <v>106</v>
      </c>
      <c r="M70" s="12">
        <v>129</v>
      </c>
      <c r="N70" s="12">
        <v>77</v>
      </c>
      <c r="O70" s="13">
        <v>95</v>
      </c>
      <c r="P70" s="13">
        <v>62</v>
      </c>
      <c r="Q70" s="14"/>
      <c r="R70" s="15">
        <f t="shared" si="9"/>
        <v>469</v>
      </c>
      <c r="S70" s="16"/>
      <c r="T70" s="12"/>
      <c r="U70" s="12"/>
      <c r="V70" s="1"/>
      <c r="W70" s="13"/>
      <c r="X70" s="14"/>
      <c r="Y70" s="15">
        <f t="shared" si="10"/>
        <v>0</v>
      </c>
      <c r="Z70" s="17">
        <f t="shared" si="11"/>
        <v>1137</v>
      </c>
      <c r="AA70" s="25" t="s">
        <v>350</v>
      </c>
      <c r="AB70" s="26" t="s">
        <v>317</v>
      </c>
      <c r="AC70" s="27" t="s">
        <v>355</v>
      </c>
      <c r="AD70" s="28" t="s">
        <v>330</v>
      </c>
      <c r="AE70" s="29" t="s">
        <v>366</v>
      </c>
      <c r="AF70" s="30" t="s">
        <v>337</v>
      </c>
      <c r="AG70" s="31" t="s">
        <v>419</v>
      </c>
      <c r="AH70" s="32" t="s">
        <v>399</v>
      </c>
    </row>
    <row r="71" spans="1:34" x14ac:dyDescent="0.35">
      <c r="A71" s="2" t="s">
        <v>69</v>
      </c>
      <c r="B71" s="3" t="s">
        <v>275</v>
      </c>
      <c r="C71" s="4" t="s">
        <v>276</v>
      </c>
      <c r="D71" s="3" t="s">
        <v>277</v>
      </c>
      <c r="E71" s="12">
        <v>128</v>
      </c>
      <c r="F71" s="13">
        <v>137</v>
      </c>
      <c r="G71" s="13">
        <v>157</v>
      </c>
      <c r="H71" s="13">
        <v>145</v>
      </c>
      <c r="I71" s="13">
        <v>131</v>
      </c>
      <c r="J71" s="14">
        <v>139</v>
      </c>
      <c r="K71" s="15">
        <f t="shared" si="8"/>
        <v>837</v>
      </c>
      <c r="L71" s="16">
        <v>116</v>
      </c>
      <c r="M71" s="12">
        <v>117</v>
      </c>
      <c r="N71" s="12">
        <v>140</v>
      </c>
      <c r="O71" s="13">
        <v>130</v>
      </c>
      <c r="P71" s="13">
        <v>153</v>
      </c>
      <c r="Q71" s="14"/>
      <c r="R71" s="15">
        <f t="shared" si="9"/>
        <v>656</v>
      </c>
      <c r="S71" s="16"/>
      <c r="T71" s="12"/>
      <c r="U71" s="12"/>
      <c r="V71" s="1"/>
      <c r="W71" s="13"/>
      <c r="X71" s="14"/>
      <c r="Y71" s="15">
        <f t="shared" si="10"/>
        <v>0</v>
      </c>
      <c r="Z71" s="17">
        <f t="shared" si="11"/>
        <v>1493</v>
      </c>
      <c r="AA71" s="25" t="s">
        <v>333</v>
      </c>
      <c r="AB71" s="26" t="s">
        <v>323</v>
      </c>
      <c r="AC71" s="27" t="s">
        <v>371</v>
      </c>
      <c r="AD71" s="28" t="s">
        <v>349</v>
      </c>
      <c r="AE71" s="29" t="s">
        <v>325</v>
      </c>
      <c r="AF71" s="30" t="s">
        <v>336</v>
      </c>
      <c r="AG71" s="31" t="s">
        <v>414</v>
      </c>
      <c r="AH71" s="32" t="s">
        <v>400</v>
      </c>
    </row>
    <row r="72" spans="1:34" x14ac:dyDescent="0.35">
      <c r="A72" s="2" t="s">
        <v>70</v>
      </c>
      <c r="B72" s="3" t="s">
        <v>272</v>
      </c>
      <c r="C72" s="4" t="s">
        <v>278</v>
      </c>
      <c r="D72" s="3" t="s">
        <v>279</v>
      </c>
      <c r="E72" s="12">
        <v>86</v>
      </c>
      <c r="F72" s="13">
        <v>150</v>
      </c>
      <c r="G72" s="13">
        <v>87</v>
      </c>
      <c r="H72" s="13">
        <v>78</v>
      </c>
      <c r="I72" s="13">
        <v>102</v>
      </c>
      <c r="J72" s="14">
        <v>117</v>
      </c>
      <c r="K72" s="15">
        <f t="shared" si="8"/>
        <v>620</v>
      </c>
      <c r="L72" s="16">
        <v>134</v>
      </c>
      <c r="M72" s="12">
        <v>86</v>
      </c>
      <c r="N72" s="12">
        <v>104</v>
      </c>
      <c r="O72" s="13">
        <v>112</v>
      </c>
      <c r="P72" s="13">
        <v>97</v>
      </c>
      <c r="Q72" s="14"/>
      <c r="R72" s="15">
        <f t="shared" si="9"/>
        <v>533</v>
      </c>
      <c r="S72" s="16"/>
      <c r="T72" s="12"/>
      <c r="U72" s="12"/>
      <c r="V72" s="1"/>
      <c r="W72" s="13"/>
      <c r="X72" s="14"/>
      <c r="Y72" s="15">
        <f t="shared" si="10"/>
        <v>0</v>
      </c>
      <c r="Z72" s="17">
        <f t="shared" si="11"/>
        <v>1153</v>
      </c>
      <c r="AA72" s="25" t="s">
        <v>322</v>
      </c>
      <c r="AB72" s="26" t="s">
        <v>334</v>
      </c>
      <c r="AC72" s="27" t="s">
        <v>324</v>
      </c>
      <c r="AD72" s="28" t="s">
        <v>325</v>
      </c>
      <c r="AE72" s="29" t="s">
        <v>331</v>
      </c>
      <c r="AF72" s="30" t="s">
        <v>327</v>
      </c>
      <c r="AG72" s="31" t="s">
        <v>414</v>
      </c>
      <c r="AH72" s="32" t="s">
        <v>396</v>
      </c>
    </row>
    <row r="73" spans="1:34" x14ac:dyDescent="0.35">
      <c r="A73" s="2" t="s">
        <v>71</v>
      </c>
      <c r="B73" s="3"/>
      <c r="C73" s="4" t="s">
        <v>280</v>
      </c>
      <c r="D73" s="3" t="s">
        <v>281</v>
      </c>
      <c r="E73" s="12">
        <v>84</v>
      </c>
      <c r="F73" s="13">
        <v>143</v>
      </c>
      <c r="G73" s="13">
        <v>64</v>
      </c>
      <c r="H73" s="13">
        <v>81</v>
      </c>
      <c r="I73" s="13">
        <v>87</v>
      </c>
      <c r="J73" s="14">
        <v>67</v>
      </c>
      <c r="K73" s="15">
        <f t="shared" si="8"/>
        <v>526</v>
      </c>
      <c r="L73" s="16">
        <v>120</v>
      </c>
      <c r="M73" s="12">
        <v>70</v>
      </c>
      <c r="N73" s="12">
        <v>81</v>
      </c>
      <c r="O73" s="13">
        <v>94</v>
      </c>
      <c r="P73" s="13">
        <v>113</v>
      </c>
      <c r="Q73" s="14"/>
      <c r="R73" s="15">
        <f t="shared" si="9"/>
        <v>478</v>
      </c>
      <c r="S73" s="16"/>
      <c r="T73" s="12"/>
      <c r="U73" s="12"/>
      <c r="V73" s="1"/>
      <c r="W73" s="13"/>
      <c r="X73" s="14"/>
      <c r="Y73" s="15">
        <f t="shared" si="10"/>
        <v>0</v>
      </c>
      <c r="Z73" s="17">
        <f t="shared" si="11"/>
        <v>1004</v>
      </c>
      <c r="AA73" s="25" t="s">
        <v>322</v>
      </c>
      <c r="AB73" s="26" t="s">
        <v>361</v>
      </c>
      <c r="AC73" s="27" t="s">
        <v>324</v>
      </c>
      <c r="AD73" s="28" t="s">
        <v>360</v>
      </c>
      <c r="AE73" s="29" t="s">
        <v>325</v>
      </c>
      <c r="AF73" s="30" t="s">
        <v>365</v>
      </c>
      <c r="AG73" s="31" t="s">
        <v>415</v>
      </c>
      <c r="AH73" s="32" t="s">
        <v>395</v>
      </c>
    </row>
  </sheetData>
  <hyperlinks>
    <hyperlink ref="C60" r:id="rId1" xr:uid="{6F233562-4B4C-4C1E-B770-06CA261AEDA2}"/>
    <hyperlink ref="C16" r:id="rId2" xr:uid="{3888F7E2-9831-429E-A1D7-00E81B910404}"/>
    <hyperlink ref="C65" r:id="rId3" xr:uid="{74A674C5-B4CA-4EA8-B6C8-6981C6809027}"/>
    <hyperlink ref="C53" r:id="rId4" xr:uid="{B3948A2D-BF4F-429E-976C-2DAB0CA67CFB}"/>
    <hyperlink ref="C57" r:id="rId5" xr:uid="{F93DA9DD-2C4D-49D5-919E-18F898D1F782}"/>
    <hyperlink ref="C59" r:id="rId6" xr:uid="{58041AC2-4CD1-4B7C-A159-6B7DCD550FFA}"/>
    <hyperlink ref="C8" r:id="rId7" xr:uid="{F77E90AB-17C8-4BB7-A3AA-F35DBA459C0F}"/>
    <hyperlink ref="C22" r:id="rId8" xr:uid="{61F424AE-8044-4921-AD86-C2B394ED8B06}"/>
    <hyperlink ref="C45" r:id="rId9" xr:uid="{167E67C0-7AEF-42C3-9CC8-9ADF562A08AC}"/>
    <hyperlink ref="C44" r:id="rId10" xr:uid="{1E6263B7-C27C-4420-8DEF-1BFD3D0213DC}"/>
    <hyperlink ref="C50" r:id="rId11" xr:uid="{5605F1EC-4698-42B6-922B-552DAD879EB2}"/>
    <hyperlink ref="C64" r:id="rId12" xr:uid="{51793546-1D74-480A-B54C-80C933D72E78}"/>
    <hyperlink ref="C20" r:id="rId13" xr:uid="{6A887A6B-BB1C-4416-9B21-7AA67330D243}"/>
    <hyperlink ref="C28" r:id="rId14" xr:uid="{6196FA2C-B6CB-44AA-9006-A61C59345737}"/>
    <hyperlink ref="C13" r:id="rId15" xr:uid="{5B11206F-272F-4C19-9D8E-0949F9E73F08}"/>
    <hyperlink ref="B62" r:id="rId16" display="rmaes@advantekbenefit.com" xr:uid="{99F48003-0034-4863-B9CA-773EFF332A82}"/>
    <hyperlink ref="C62" r:id="rId17" xr:uid="{430FBDB7-8D0D-4F44-83E5-D0F304E37793}"/>
    <hyperlink ref="C15" r:id="rId18" xr:uid="{AC225711-AA46-46DC-AAB7-C6A3904746F0}"/>
    <hyperlink ref="C72" r:id="rId19" display="gbradley@assuredpc.com" xr:uid="{243FCED3-6A16-42D2-A0D3-CC4635FDDDC6}"/>
    <hyperlink ref="C24" r:id="rId20" xr:uid="{CD9F9CFD-740F-46D0-A103-3DD2FF04DEE5}"/>
    <hyperlink ref="C33" r:id="rId21" xr:uid="{2CEA8BBA-1936-401C-9DA9-C0006654ABDD}"/>
    <hyperlink ref="C29" r:id="rId22" xr:uid="{CC1D97EE-4640-4FE6-8B1B-272E5DF9170E}"/>
    <hyperlink ref="C40" r:id="rId23" xr:uid="{B6F7B543-E150-4509-99E2-9C930EF5ECD3}"/>
    <hyperlink ref="C9" r:id="rId24" xr:uid="{69ACF5B4-ACBC-42F5-A8FB-DDC06CFAE759}"/>
    <hyperlink ref="C31" r:id="rId25" xr:uid="{BEEEAEE5-CA00-441E-B5BA-6C2435BC27DE}"/>
    <hyperlink ref="C32" r:id="rId26" xr:uid="{9632F27A-2258-4454-A7E4-37B0D77817AB}"/>
    <hyperlink ref="C70" r:id="rId27" xr:uid="{CACE50C5-BC3F-4795-A6E9-AD8A7F480639}"/>
    <hyperlink ref="C7" r:id="rId28" xr:uid="{D30DCC28-93A3-434C-8056-25B5AD8662CD}"/>
    <hyperlink ref="C18" r:id="rId29" xr:uid="{0BDFB35F-7107-4FB2-9401-6B6E1C54C39C}"/>
    <hyperlink ref="C11" r:id="rId30" xr:uid="{631F29A8-FD05-49E0-AC22-1FA92E583EF5}"/>
    <hyperlink ref="C48" r:id="rId31" xr:uid="{F60BEF78-83E0-478E-B3AE-6534785D58AD}"/>
    <hyperlink ref="C51" r:id="rId32" xr:uid="{A257A790-E4DC-4418-A8C2-CE8A07633794}"/>
    <hyperlink ref="C71" r:id="rId33" xr:uid="{1DE88913-7BD0-4678-B3E8-858C82A1BF91}"/>
    <hyperlink ref="C3" r:id="rId34" xr:uid="{A28D291A-5E8D-4F29-AE2D-B249313D23E2}"/>
    <hyperlink ref="C47" r:id="rId35" xr:uid="{BFB44CCE-4215-424C-963A-8D3284D0D0B9}"/>
    <hyperlink ref="C25" r:id="rId36" xr:uid="{571392AC-F170-4D9C-BC81-3333DDCBF8FD}"/>
    <hyperlink ref="C41" r:id="rId37" xr:uid="{996AAE85-6AD2-47C1-8C6C-4EC7E26E32FC}"/>
    <hyperlink ref="C56" r:id="rId38" xr:uid="{66549CC4-7201-41A0-AF35-4BEE1420E25F}"/>
    <hyperlink ref="C52" r:id="rId39" xr:uid="{B821045D-C620-4190-A25F-693431CB8E76}"/>
    <hyperlink ref="C54" r:id="rId40" xr:uid="{53D92A4B-B65A-4D04-A724-33DB265F4750}"/>
    <hyperlink ref="C68" r:id="rId41" xr:uid="{65C3D70C-33EE-4BAD-A4B5-585A15F02DE4}"/>
    <hyperlink ref="C55" r:id="rId42" xr:uid="{3C797E41-6BE9-4BAC-BD35-FB7B390321DF}"/>
    <hyperlink ref="C6" r:id="rId43" xr:uid="{F0C40F08-3110-4436-9433-8B97049EB5C9}"/>
    <hyperlink ref="C10" r:id="rId44" xr:uid="{1D39DA26-7372-4194-9439-EA93A4A8B4A6}"/>
    <hyperlink ref="C12" r:id="rId45" xr:uid="{4139F71A-878F-406A-9027-74DDC199BBF0}"/>
    <hyperlink ref="C21" r:id="rId46" xr:uid="{C8D57FE8-5DC0-47BA-BFE6-F804EEA2BEF7}"/>
    <hyperlink ref="C30" r:id="rId47" xr:uid="{EB5829EA-9BF8-4511-89F2-6C0E89E7BD67}"/>
    <hyperlink ref="C38" r:id="rId48" xr:uid="{F06D2DC3-EECB-4B77-90DB-B0FD8D4F9D5B}"/>
    <hyperlink ref="C42" r:id="rId49" xr:uid="{3E67DC0F-AE68-4A71-8D37-BFACAD422BC8}"/>
    <hyperlink ref="C43" r:id="rId50" xr:uid="{3E0DB6C1-3AD8-4822-A3C4-B37D4054D0B5}"/>
    <hyperlink ref="C73" r:id="rId51" xr:uid="{350B2C48-E6CB-4BA3-AC0A-214F3376484B}"/>
    <hyperlink ref="C2" r:id="rId52" xr:uid="{D5E1E3F8-70A5-4AE3-86C0-869E2AE03CB9}"/>
    <hyperlink ref="C4" r:id="rId53" xr:uid="{89E1FF52-B059-4079-8257-8AE91D551C70}"/>
    <hyperlink ref="C5" r:id="rId54" xr:uid="{26412652-9DF4-49CF-8A01-6E90DEFFC46D}"/>
    <hyperlink ref="C14" r:id="rId55" xr:uid="{0280C038-B642-42EB-ACC6-2DBFA3C69C4F}"/>
    <hyperlink ref="C17" r:id="rId56" xr:uid="{5DF6C187-E4CC-4C33-BE0A-9DB29BD0B334}"/>
    <hyperlink ref="C19" r:id="rId57" xr:uid="{379E66F2-FA17-4021-A5EB-699E65F27A72}"/>
    <hyperlink ref="C23" r:id="rId58" xr:uid="{0A8F1763-86BC-464A-A6C5-B4C25EA4491F}"/>
    <hyperlink ref="C26" r:id="rId59" xr:uid="{C35C0D63-1044-471C-8043-265028D0E1E7}"/>
    <hyperlink ref="C27" r:id="rId60" xr:uid="{BE8C2DDF-BD25-424B-8CAB-23996A1B4873}"/>
    <hyperlink ref="C34" r:id="rId61" xr:uid="{7305E83A-32EB-45BA-94C9-451D42495E49}"/>
    <hyperlink ref="C36" r:id="rId62" xr:uid="{DAD5289A-A1D4-4D6F-A7BD-2476B5EAE9C4}"/>
    <hyperlink ref="C35" r:id="rId63" xr:uid="{0E609063-DE9A-48FC-993E-79317673AFF7}"/>
    <hyperlink ref="C37" r:id="rId64" xr:uid="{0A26620C-AD53-4F6F-B15E-AF59B01D40A4}"/>
    <hyperlink ref="C39" r:id="rId65" xr:uid="{4DD8386F-A5D6-4F28-B62E-05A10E6E646F}"/>
    <hyperlink ref="C46" r:id="rId66" xr:uid="{8262C0F5-09D3-491D-97FC-D33CE36DB8F3}"/>
    <hyperlink ref="C49" r:id="rId67" xr:uid="{57EA1A25-13AE-4CDA-BA1D-72797D35A5A5}"/>
    <hyperlink ref="C58" r:id="rId68" xr:uid="{5283A7A9-6B78-4BD4-8C63-495BC5ACF840}"/>
    <hyperlink ref="C61" r:id="rId69" xr:uid="{70FD628C-752D-49EA-876D-0BC7DCE0F8A7}"/>
    <hyperlink ref="C63" r:id="rId70" xr:uid="{B9207DFA-134C-4C32-9A88-81620C57AAE1}"/>
    <hyperlink ref="C66" r:id="rId71" xr:uid="{5BD744CD-397E-4E25-B539-051D8FB0A57B}"/>
    <hyperlink ref="C67" r:id="rId72" xr:uid="{65E2802F-4393-48DF-A1CC-2BCAE8609D6C}"/>
    <hyperlink ref="C69" r:id="rId73" xr:uid="{AB6F0E08-5E95-4B1D-BF1B-9910905904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Landziak</dc:creator>
  <cp:lastModifiedBy>Samuel Edwards</cp:lastModifiedBy>
  <dcterms:created xsi:type="dcterms:W3CDTF">2025-11-24T16:36:04Z</dcterms:created>
  <dcterms:modified xsi:type="dcterms:W3CDTF">2025-11-24T19:06:29Z</dcterms:modified>
</cp:coreProperties>
</file>